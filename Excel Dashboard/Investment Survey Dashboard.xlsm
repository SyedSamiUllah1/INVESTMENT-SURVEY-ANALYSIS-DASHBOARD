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PMLS\Desktop\BI Practice Data Set\"/>
    </mc:Choice>
  </mc:AlternateContent>
  <xr:revisionPtr revIDLastSave="0" documentId="13_ncr:1_{3231694F-F9DF-4B2B-99F4-9D0C042F486A}" xr6:coauthVersionLast="47" xr6:coauthVersionMax="47" xr10:uidLastSave="{00000000-0000-0000-0000-000000000000}"/>
  <bookViews>
    <workbookView xWindow="-110" yWindow="-110" windowWidth="19420" windowHeight="10420" activeTab="3" xr2:uid="{82C09027-F3C1-431D-BD24-153C69FB652E}"/>
  </bookViews>
  <sheets>
    <sheet name="Finance_data" sheetId="2" r:id="rId1"/>
    <sheet name="Sheet1" sheetId="1" r:id="rId2"/>
    <sheet name="Pivot" sheetId="5" r:id="rId3"/>
    <sheet name="Dashboard" sheetId="7" r:id="rId4"/>
  </sheets>
  <definedNames>
    <definedName name="ExternalData_1" localSheetId="0" hidden="1">Finance_data!$A$1:$X$41</definedName>
    <definedName name="Slicer_Duration">#N/A</definedName>
    <definedName name="Slicer_gender">#N/A</definedName>
    <definedName name="Slicer_Objective">#N/A</definedName>
  </definedNames>
  <calcPr calcId="191029"/>
  <pivotCaches>
    <pivotCache cacheId="49" r:id="rId5"/>
    <pivotCache cacheId="48"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1" i="5" l="1"/>
  <c r="F70" i="5"/>
  <c r="D69" i="5"/>
  <c r="B69"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819E1EE-4E09-443D-896A-BD85E9C0CFDF}" keepAlive="1" name="Query - Finance_data" description="Connection to the 'Finance_data' query in the workbook." type="5" refreshedVersion="8" background="1" saveData="1">
    <dbPr connection="Provider=Microsoft.Mashup.OleDb.1;Data Source=$Workbook$;Location=Finance_data;Extended Properties=&quot;&quot;" command="SELECT * FROM [Finance_data]"/>
  </connection>
</connections>
</file>

<file path=xl/sharedStrings.xml><?xml version="1.0" encoding="utf-8"?>
<sst xmlns="http://schemas.openxmlformats.org/spreadsheetml/2006/main" count="741" uniqueCount="97">
  <si>
    <t>gender</t>
  </si>
  <si>
    <t>age</t>
  </si>
  <si>
    <t>Investment_Avenues</t>
  </si>
  <si>
    <t>Mutual_Funds</t>
  </si>
  <si>
    <t>Equity_Market</t>
  </si>
  <si>
    <t>Debentures</t>
  </si>
  <si>
    <t>Government_Bonds</t>
  </si>
  <si>
    <t>Fixed_Deposits</t>
  </si>
  <si>
    <t>PPF</t>
  </si>
  <si>
    <t>Gold</t>
  </si>
  <si>
    <t>Stock_Marktet</t>
  </si>
  <si>
    <t>Factor</t>
  </si>
  <si>
    <t>Objective</t>
  </si>
  <si>
    <t>Purpose</t>
  </si>
  <si>
    <t>Duration</t>
  </si>
  <si>
    <t>Invest_Monitor</t>
  </si>
  <si>
    <t>Expect</t>
  </si>
  <si>
    <t>Avenue</t>
  </si>
  <si>
    <t>What are your savings objectives?</t>
  </si>
  <si>
    <t>Reason_Equity</t>
  </si>
  <si>
    <t>Reason_Mutual</t>
  </si>
  <si>
    <t>Reason_Bonds</t>
  </si>
  <si>
    <t>Reason_FD</t>
  </si>
  <si>
    <t>Source</t>
  </si>
  <si>
    <t>Female</t>
  </si>
  <si>
    <t>Yes</t>
  </si>
  <si>
    <t>Returns</t>
  </si>
  <si>
    <t>Capital Appreciation</t>
  </si>
  <si>
    <t>Wealth Creation</t>
  </si>
  <si>
    <t>1-3 years</t>
  </si>
  <si>
    <t>Monthly</t>
  </si>
  <si>
    <t>20%-30%</t>
  </si>
  <si>
    <t>Mutual Fund</t>
  </si>
  <si>
    <t>Retirement Plan</t>
  </si>
  <si>
    <t>Better Returns</t>
  </si>
  <si>
    <t>Safe Investment</t>
  </si>
  <si>
    <t>Fixed Returns</t>
  </si>
  <si>
    <t>Newspapers and Magazines</t>
  </si>
  <si>
    <t>No</t>
  </si>
  <si>
    <t>Locking Period</t>
  </si>
  <si>
    <t>More than 5 years</t>
  </si>
  <si>
    <t>Weekly</t>
  </si>
  <si>
    <t>Health Care</t>
  </si>
  <si>
    <t>Dividend</t>
  </si>
  <si>
    <t>High Interest Rates</t>
  </si>
  <si>
    <t>Financial Consultants</t>
  </si>
  <si>
    <t>Male</t>
  </si>
  <si>
    <t>3-5 years</t>
  </si>
  <si>
    <t>Daily</t>
  </si>
  <si>
    <t>Equity</t>
  </si>
  <si>
    <t>Tax Benefits</t>
  </si>
  <si>
    <t>Assured Returns</t>
  </si>
  <si>
    <t>Television</t>
  </si>
  <si>
    <t>Income</t>
  </si>
  <si>
    <t>Less than 1 year</t>
  </si>
  <si>
    <t>10%-20%</t>
  </si>
  <si>
    <t>Fund Diversification</t>
  </si>
  <si>
    <t>Tax Incentives</t>
  </si>
  <si>
    <t>Internet</t>
  </si>
  <si>
    <t>Risk Free</t>
  </si>
  <si>
    <t>Risk</t>
  </si>
  <si>
    <t>30%-40%</t>
  </si>
  <si>
    <t>Liquidity</t>
  </si>
  <si>
    <t>Growth</t>
  </si>
  <si>
    <t>Savings for Future</t>
  </si>
  <si>
    <t>Fixed Deposits</t>
  </si>
  <si>
    <t>Education</t>
  </si>
  <si>
    <t>Public Provident Fund</t>
  </si>
  <si>
    <t xml:space="preserve">  INVESTMENT SURVEY — ANALYSIS DASHBOARD</t>
  </si>
  <si>
    <t>1.  Investment by Gender</t>
  </si>
  <si>
    <t xml:space="preserve">  Which gender invests more in each avenue?</t>
  </si>
  <si>
    <t>Row Labels</t>
  </si>
  <si>
    <t>Mutual Funds</t>
  </si>
  <si>
    <t>Values</t>
  </si>
  <si>
    <t>Sum of Gold</t>
  </si>
  <si>
    <t>Sum of PPF</t>
  </si>
  <si>
    <t>2.  Avenue Popularity</t>
  </si>
  <si>
    <t xml:space="preserve">  Most preferred investment avenues</t>
  </si>
  <si>
    <t>Count of Investors</t>
  </si>
  <si>
    <t>3.  Objective Analysis</t>
  </si>
  <si>
    <t xml:space="preserve">  Investment objectives vs gender</t>
  </si>
  <si>
    <t>Column Labels</t>
  </si>
  <si>
    <t>Count</t>
  </si>
  <si>
    <t>4.  Investment Duration</t>
  </si>
  <si>
    <t xml:space="preserve">  How long do investors plan to invest?</t>
  </si>
  <si>
    <t>No. of Investors</t>
  </si>
  <si>
    <t>5.  Key Investment Factors</t>
  </si>
  <si>
    <t xml:space="preserve">  What drives investment decisions?</t>
  </si>
  <si>
    <t>6.  Monitoring Frequency</t>
  </si>
  <si>
    <t xml:space="preserve">  How often do investors monitor portfolios?</t>
  </si>
  <si>
    <t>7.  Expected Returns</t>
  </si>
  <si>
    <t xml:space="preserve">  Return expectations by gender</t>
  </si>
  <si>
    <t>8.  Savings Objectives</t>
  </si>
  <si>
    <t xml:space="preserve">  What are investors saving for?</t>
  </si>
  <si>
    <t>Count of gender</t>
  </si>
  <si>
    <t>Count of Mutual_Funds</t>
  </si>
  <si>
    <t>Average of 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</si>
</sst>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Aptos Narrow"/>
      <family val="2"/>
      <scheme val="minor"/>
    </font>
    <font>
      <b/>
      <sz val="16"/>
      <color rgb="FFFFFFFF"/>
      <name val="Calibri"/>
      <family val="2"/>
    </font>
    <font>
      <i/>
      <sz val="9"/>
      <color rgb="FFB4D2F0"/>
      <name val="Calibri"/>
      <family val="2"/>
    </font>
    <font>
      <b/>
      <sz val="11"/>
      <color rgb="FFFFFFFF"/>
      <name val="Calibri"/>
      <family val="2"/>
    </font>
    <font>
      <i/>
      <sz val="8"/>
      <color rgb="FF595959"/>
      <name val="Calibri"/>
      <family val="2"/>
    </font>
  </fonts>
  <fills count="6">
    <fill>
      <patternFill patternType="none"/>
    </fill>
    <fill>
      <patternFill patternType="gray125"/>
    </fill>
    <fill>
      <patternFill patternType="solid">
        <fgColor rgb="FF1F4E79"/>
        <bgColor indexed="64"/>
      </patternFill>
    </fill>
    <fill>
      <patternFill patternType="solid">
        <fgColor rgb="FFD9E6F2"/>
        <bgColor indexed="64"/>
      </patternFill>
    </fill>
    <fill>
      <patternFill patternType="solid">
        <fgColor theme="0"/>
        <bgColor indexed="64"/>
      </patternFill>
    </fill>
    <fill>
      <patternFill patternType="solid">
        <fgColor theme="1"/>
        <bgColor indexed="64"/>
      </patternFill>
    </fill>
  </fills>
  <borders count="1">
    <border>
      <left/>
      <right/>
      <top/>
      <bottom/>
      <diagonal/>
    </border>
  </borders>
  <cellStyleXfs count="1">
    <xf numFmtId="0" fontId="0" fillId="0" borderId="0"/>
  </cellStyleXfs>
  <cellXfs count="9">
    <xf numFmtId="0" fontId="0" fillId="0" borderId="0" xfId="0"/>
    <xf numFmtId="0" fontId="0" fillId="0" borderId="0" xfId="0" applyNumberFormat="1"/>
    <xf numFmtId="0" fontId="1" fillId="2" borderId="0" xfId="0" applyFont="1" applyFill="1" applyAlignment="1">
      <alignment horizontal="left" vertical="center"/>
    </xf>
    <xf numFmtId="0" fontId="3" fillId="2" borderId="0" xfId="0" applyFont="1" applyFill="1" applyAlignment="1">
      <alignment horizontal="left" vertical="center" indent="1"/>
    </xf>
    <xf numFmtId="0" fontId="4" fillId="3" borderId="0" xfId="0" applyFont="1" applyFill="1" applyAlignment="1">
      <alignment horizontal="left" vertical="center"/>
    </xf>
    <xf numFmtId="0" fontId="0" fillId="0" borderId="0" xfId="0" pivotButton="1"/>
    <xf numFmtId="0" fontId="0" fillId="0" borderId="0" xfId="0" applyAlignment="1">
      <alignment horizontal="left"/>
    </xf>
    <xf numFmtId="0" fontId="2" fillId="5" borderId="0" xfId="0" applyFont="1" applyFill="1" applyAlignment="1">
      <alignment horizontal="left" vertical="center"/>
    </xf>
    <xf numFmtId="0" fontId="0" fillId="4" borderId="0" xfId="0" applyFill="1"/>
  </cellXfs>
  <cellStyles count="1">
    <cellStyle name="Normal" xfId="0" builtinId="0"/>
  </cellStyles>
  <dxfs count="18">
    <dxf>
      <font>
        <b/>
        <color theme="1"/>
      </font>
      <border>
        <bottom style="thin">
          <color theme="4"/>
        </bottom>
        <vertical/>
        <horizontal/>
      </border>
    </dxf>
    <dxf>
      <font>
        <color theme="1"/>
      </font>
      <border diagonalUp="0" diagonalDown="0">
        <left/>
        <right/>
        <top/>
        <bottom/>
        <vertical/>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1" defaultTableStyle="TableStyleMedium2" defaultPivotStyle="PivotStyleLight16">
    <tableStyle name="SlicerStyleLight1 2" pivot="0" table="0" count="10" xr9:uid="{998BA8B0-D29A-4D23-890E-861AE06ADC5A}">
      <tableStyleElement type="wholeTable" dxfId="1"/>
      <tableStyleElement type="headerRow" dxfId="0"/>
    </tableStyle>
  </tableStyles>
  <colors>
    <mruColors>
      <color rgb="FF0F172A"/>
      <color rgb="FFFF65D7"/>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connections" Target="connections.xml"/><Relationship Id="rId5" Type="http://schemas.openxmlformats.org/officeDocument/2006/relationships/pivotCacheDefinition" Target="pivotCache/pivotCacheDefinition1.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6.xlsm]Pivot!PT_Objective</c:name>
    <c:fmtId val="4"/>
  </c:pivotSource>
  <c:chart>
    <c:title>
      <c:tx>
        <c:strRef>
          <c:f>Pivot!$B$23</c:f>
          <c:strCache>
            <c:ptCount val="1"/>
            <c:pt idx="0">
              <c:v>  Investment objectives vs gender</c:v>
            </c:pt>
          </c:strCache>
        </c:strRef>
      </c:tx>
      <c:layout>
        <c:manualLayout>
          <c:xMode val="edge"/>
          <c:yMode val="edge"/>
          <c:x val="0.22826377952755905"/>
          <c:y val="3.70370370370370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65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65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65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Pivot!$B$23</c:f>
              <c:strCache>
                <c:ptCount val="1"/>
                <c:pt idx="0">
                  <c:v>Female</c:v>
                </c:pt>
              </c:strCache>
            </c:strRef>
          </c:tx>
          <c:spPr>
            <a:solidFill>
              <a:srgbClr val="FF65D7"/>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Pivot!$B$23</c:f>
              <c:strCache>
                <c:ptCount val="3"/>
                <c:pt idx="0">
                  <c:v>Capital Appreciation</c:v>
                </c:pt>
                <c:pt idx="1">
                  <c:v>Growth</c:v>
                </c:pt>
                <c:pt idx="2">
                  <c:v>Income</c:v>
                </c:pt>
              </c:strCache>
            </c:strRef>
          </c:cat>
          <c:val>
            <c:numRef>
              <c:f>Pivot!$B$23</c:f>
              <c:numCache>
                <c:formatCode>General</c:formatCode>
                <c:ptCount val="3"/>
                <c:pt idx="0">
                  <c:v>10</c:v>
                </c:pt>
                <c:pt idx="1">
                  <c:v>3</c:v>
                </c:pt>
                <c:pt idx="2">
                  <c:v>2</c:v>
                </c:pt>
              </c:numCache>
            </c:numRef>
          </c:val>
          <c:extLst>
            <c:ext xmlns:c16="http://schemas.microsoft.com/office/drawing/2014/chart" uri="{C3380CC4-5D6E-409C-BE32-E72D297353CC}">
              <c16:uniqueId val="{00000000-0E4B-4CF1-97DC-378BA480914D}"/>
            </c:ext>
          </c:extLst>
        </c:ser>
        <c:ser>
          <c:idx val="1"/>
          <c:order val="1"/>
          <c:tx>
            <c:strRef>
              <c:f>Pivot!$B$23</c:f>
              <c:strCache>
                <c:ptCount val="1"/>
                <c:pt idx="0">
                  <c:v>Male</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Pivot!$B$23</c:f>
              <c:strCache>
                <c:ptCount val="3"/>
                <c:pt idx="0">
                  <c:v>Capital Appreciation</c:v>
                </c:pt>
                <c:pt idx="1">
                  <c:v>Growth</c:v>
                </c:pt>
                <c:pt idx="2">
                  <c:v>Income</c:v>
                </c:pt>
              </c:strCache>
            </c:strRef>
          </c:cat>
          <c:val>
            <c:numRef>
              <c:f>Pivot!$B$23</c:f>
              <c:numCache>
                <c:formatCode>General</c:formatCode>
                <c:ptCount val="3"/>
                <c:pt idx="0">
                  <c:v>16</c:v>
                </c:pt>
                <c:pt idx="1">
                  <c:v>8</c:v>
                </c:pt>
                <c:pt idx="2">
                  <c:v>1</c:v>
                </c:pt>
              </c:numCache>
            </c:numRef>
          </c:val>
          <c:extLst>
            <c:ext xmlns:c16="http://schemas.microsoft.com/office/drawing/2014/chart" uri="{C3380CC4-5D6E-409C-BE32-E72D297353CC}">
              <c16:uniqueId val="{00000005-0E4B-4CF1-97DC-378BA480914D}"/>
            </c:ext>
          </c:extLst>
        </c:ser>
        <c:dLbls>
          <c:dLblPos val="outEnd"/>
          <c:showLegendKey val="0"/>
          <c:showVal val="1"/>
          <c:showCatName val="0"/>
          <c:showSerName val="0"/>
          <c:showPercent val="0"/>
          <c:showBubbleSize val="0"/>
        </c:dLbls>
        <c:gapWidth val="182"/>
        <c:axId val="704381584"/>
        <c:axId val="704390224"/>
      </c:barChart>
      <c:catAx>
        <c:axId val="704381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4390224"/>
        <c:crosses val="autoZero"/>
        <c:auto val="1"/>
        <c:lblAlgn val="ctr"/>
        <c:lblOffset val="100"/>
        <c:noMultiLvlLbl val="0"/>
      </c:catAx>
      <c:valAx>
        <c:axId val="704390224"/>
        <c:scaling>
          <c:orientation val="minMax"/>
        </c:scaling>
        <c:delete val="1"/>
        <c:axPos val="l"/>
        <c:numFmt formatCode="General" sourceLinked="1"/>
        <c:majorTickMark val="none"/>
        <c:minorTickMark val="none"/>
        <c:tickLblPos val="nextTo"/>
        <c:crossAx val="704381584"/>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6.xlsm]Pivot!PT_Gender</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Which gender invests more in each avenue?</a:t>
            </a:r>
          </a:p>
        </c:rich>
      </c:tx>
      <c:layout>
        <c:manualLayout>
          <c:xMode val="edge"/>
          <c:yMode val="edge"/>
          <c:x val="0.22826377952755905"/>
          <c:y val="3.70370370370370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65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65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65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65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FF65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65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FF65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FF65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Pivot!$C$6:$C$7</c:f>
              <c:strCache>
                <c:ptCount val="1"/>
                <c:pt idx="0">
                  <c:v>Mutual Funds</c:v>
                </c:pt>
              </c:strCache>
            </c:strRef>
          </c:tx>
          <c:spPr>
            <a:solidFill>
              <a:srgbClr val="FF65D7"/>
            </a:solidFill>
            <a:ln>
              <a:noFill/>
            </a:ln>
            <a:effectLst/>
          </c:spPr>
          <c:invertIfNegative val="0"/>
          <c:cat>
            <c:strRef>
              <c:f>Pivot!$B$8:$B$9</c:f>
              <c:strCache>
                <c:ptCount val="2"/>
                <c:pt idx="0">
                  <c:v>Female</c:v>
                </c:pt>
                <c:pt idx="1">
                  <c:v>Male</c:v>
                </c:pt>
              </c:strCache>
            </c:strRef>
          </c:cat>
          <c:val>
            <c:numRef>
              <c:f>Pivot!$C$8:$C$9</c:f>
              <c:numCache>
                <c:formatCode>General</c:formatCode>
                <c:ptCount val="2"/>
                <c:pt idx="0">
                  <c:v>41</c:v>
                </c:pt>
                <c:pt idx="1">
                  <c:v>61</c:v>
                </c:pt>
              </c:numCache>
            </c:numRef>
          </c:val>
          <c:extLst>
            <c:ext xmlns:c16="http://schemas.microsoft.com/office/drawing/2014/chart" uri="{C3380CC4-5D6E-409C-BE32-E72D297353CC}">
              <c16:uniqueId val="{00000000-97F7-4C01-97CC-52830320B115}"/>
            </c:ext>
          </c:extLst>
        </c:ser>
        <c:ser>
          <c:idx val="1"/>
          <c:order val="1"/>
          <c:tx>
            <c:strRef>
              <c:f>Pivot!$D$6:$D$7</c:f>
              <c:strCache>
                <c:ptCount val="1"/>
                <c:pt idx="0">
                  <c:v>Equity</c:v>
                </c:pt>
              </c:strCache>
            </c:strRef>
          </c:tx>
          <c:spPr>
            <a:solidFill>
              <a:srgbClr val="00B0F0"/>
            </a:solidFill>
            <a:ln>
              <a:noFill/>
            </a:ln>
            <a:effectLst/>
          </c:spPr>
          <c:invertIfNegative val="0"/>
          <c:cat>
            <c:strRef>
              <c:f>Pivot!$B$8:$B$9</c:f>
              <c:strCache>
                <c:ptCount val="2"/>
                <c:pt idx="0">
                  <c:v>Female</c:v>
                </c:pt>
                <c:pt idx="1">
                  <c:v>Male</c:v>
                </c:pt>
              </c:strCache>
            </c:strRef>
          </c:cat>
          <c:val>
            <c:numRef>
              <c:f>Pivot!$D$8:$D$9</c:f>
              <c:numCache>
                <c:formatCode>General</c:formatCode>
                <c:ptCount val="2"/>
                <c:pt idx="0">
                  <c:v>50</c:v>
                </c:pt>
                <c:pt idx="1">
                  <c:v>89</c:v>
                </c:pt>
              </c:numCache>
            </c:numRef>
          </c:val>
          <c:extLst>
            <c:ext xmlns:c16="http://schemas.microsoft.com/office/drawing/2014/chart" uri="{C3380CC4-5D6E-409C-BE32-E72D297353CC}">
              <c16:uniqueId val="{00000001-97F7-4C01-97CC-52830320B115}"/>
            </c:ext>
          </c:extLst>
        </c:ser>
        <c:ser>
          <c:idx val="2"/>
          <c:order val="2"/>
          <c:tx>
            <c:strRef>
              <c:f>Pivot!$E$6:$E$7</c:f>
              <c:strCache>
                <c:ptCount val="1"/>
                <c:pt idx="0">
                  <c:v>Sum of Gold</c:v>
                </c:pt>
              </c:strCache>
            </c:strRef>
          </c:tx>
          <c:spPr>
            <a:solidFill>
              <a:schemeClr val="accent3"/>
            </a:solidFill>
            <a:ln>
              <a:noFill/>
            </a:ln>
            <a:effectLst/>
          </c:spPr>
          <c:invertIfNegative val="0"/>
          <c:cat>
            <c:strRef>
              <c:f>Pivot!$B$8:$B$9</c:f>
              <c:strCache>
                <c:ptCount val="2"/>
                <c:pt idx="0">
                  <c:v>Female</c:v>
                </c:pt>
                <c:pt idx="1">
                  <c:v>Male</c:v>
                </c:pt>
              </c:strCache>
            </c:strRef>
          </c:cat>
          <c:val>
            <c:numRef>
              <c:f>Pivot!$E$8:$E$9</c:f>
              <c:numCache>
                <c:formatCode>General</c:formatCode>
                <c:ptCount val="2"/>
                <c:pt idx="0">
                  <c:v>88</c:v>
                </c:pt>
                <c:pt idx="1">
                  <c:v>151</c:v>
                </c:pt>
              </c:numCache>
            </c:numRef>
          </c:val>
          <c:extLst>
            <c:ext xmlns:c16="http://schemas.microsoft.com/office/drawing/2014/chart" uri="{C3380CC4-5D6E-409C-BE32-E72D297353CC}">
              <c16:uniqueId val="{00000002-97F7-4C01-97CC-52830320B115}"/>
            </c:ext>
          </c:extLst>
        </c:ser>
        <c:ser>
          <c:idx val="3"/>
          <c:order val="3"/>
          <c:tx>
            <c:strRef>
              <c:f>Pivot!$F$6:$F$7</c:f>
              <c:strCache>
                <c:ptCount val="1"/>
                <c:pt idx="0">
                  <c:v>Fixed Deposits</c:v>
                </c:pt>
              </c:strCache>
            </c:strRef>
          </c:tx>
          <c:spPr>
            <a:solidFill>
              <a:schemeClr val="accent4"/>
            </a:solidFill>
            <a:ln>
              <a:noFill/>
            </a:ln>
            <a:effectLst/>
          </c:spPr>
          <c:invertIfNegative val="0"/>
          <c:cat>
            <c:strRef>
              <c:f>Pivot!$B$8:$B$9</c:f>
              <c:strCache>
                <c:ptCount val="2"/>
                <c:pt idx="0">
                  <c:v>Female</c:v>
                </c:pt>
                <c:pt idx="1">
                  <c:v>Male</c:v>
                </c:pt>
              </c:strCache>
            </c:strRef>
          </c:cat>
          <c:val>
            <c:numRef>
              <c:f>Pivot!$F$8:$F$9</c:f>
              <c:numCache>
                <c:formatCode>General</c:formatCode>
                <c:ptCount val="2"/>
                <c:pt idx="0">
                  <c:v>63</c:v>
                </c:pt>
                <c:pt idx="1">
                  <c:v>80</c:v>
                </c:pt>
              </c:numCache>
            </c:numRef>
          </c:val>
          <c:extLst>
            <c:ext xmlns:c16="http://schemas.microsoft.com/office/drawing/2014/chart" uri="{C3380CC4-5D6E-409C-BE32-E72D297353CC}">
              <c16:uniqueId val="{00000003-97F7-4C01-97CC-52830320B115}"/>
            </c:ext>
          </c:extLst>
        </c:ser>
        <c:ser>
          <c:idx val="4"/>
          <c:order val="4"/>
          <c:tx>
            <c:strRef>
              <c:f>Pivot!$G$6:$G$7</c:f>
              <c:strCache>
                <c:ptCount val="1"/>
                <c:pt idx="0">
                  <c:v>Sum of PPF</c:v>
                </c:pt>
              </c:strCache>
            </c:strRef>
          </c:tx>
          <c:spPr>
            <a:solidFill>
              <a:schemeClr val="accent5"/>
            </a:solidFill>
            <a:ln>
              <a:noFill/>
            </a:ln>
            <a:effectLst/>
          </c:spPr>
          <c:invertIfNegative val="0"/>
          <c:cat>
            <c:strRef>
              <c:f>Pivot!$B$8:$B$9</c:f>
              <c:strCache>
                <c:ptCount val="2"/>
                <c:pt idx="0">
                  <c:v>Female</c:v>
                </c:pt>
                <c:pt idx="1">
                  <c:v>Male</c:v>
                </c:pt>
              </c:strCache>
            </c:strRef>
          </c:cat>
          <c:val>
            <c:numRef>
              <c:f>Pivot!$G$8:$G$9</c:f>
              <c:numCache>
                <c:formatCode>General</c:formatCode>
                <c:ptCount val="2"/>
                <c:pt idx="0">
                  <c:v>35</c:v>
                </c:pt>
                <c:pt idx="1">
                  <c:v>46</c:v>
                </c:pt>
              </c:numCache>
            </c:numRef>
          </c:val>
          <c:extLst>
            <c:ext xmlns:c16="http://schemas.microsoft.com/office/drawing/2014/chart" uri="{C3380CC4-5D6E-409C-BE32-E72D297353CC}">
              <c16:uniqueId val="{00000004-97F7-4C01-97CC-52830320B115}"/>
            </c:ext>
          </c:extLst>
        </c:ser>
        <c:dLbls>
          <c:showLegendKey val="0"/>
          <c:showVal val="0"/>
          <c:showCatName val="0"/>
          <c:showSerName val="0"/>
          <c:showPercent val="0"/>
          <c:showBubbleSize val="0"/>
        </c:dLbls>
        <c:gapWidth val="182"/>
        <c:axId val="704381584"/>
        <c:axId val="704390224"/>
      </c:barChart>
      <c:catAx>
        <c:axId val="7043815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4390224"/>
        <c:crosses val="autoZero"/>
        <c:auto val="1"/>
        <c:lblAlgn val="ctr"/>
        <c:lblOffset val="100"/>
        <c:noMultiLvlLbl val="0"/>
      </c:catAx>
      <c:valAx>
        <c:axId val="70439022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4381584"/>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6.xlsm]Pivot!PT_Avenue</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Most preferred investment avenues</a:t>
            </a:r>
          </a:p>
        </c:rich>
      </c:tx>
      <c:layout>
        <c:manualLayout>
          <c:xMode val="edge"/>
          <c:yMode val="edge"/>
          <c:x val="0.22826377952755905"/>
          <c:y val="3.70370370370370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65D7"/>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1"/>
        <c:spPr>
          <a:solidFill>
            <a:srgbClr val="00B0F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2"/>
        <c:spPr>
          <a:solidFill>
            <a:srgbClr val="FF65D7"/>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3"/>
        <c:spPr>
          <a:solidFill>
            <a:srgbClr val="00B0F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4"/>
        <c:spPr>
          <a:solidFill>
            <a:srgbClr val="FF65D7"/>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5"/>
        <c:spPr>
          <a:solidFill>
            <a:srgbClr val="00B0F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6"/>
        <c:spPr>
          <a:solidFill>
            <a:srgbClr val="FF65D7"/>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7"/>
        <c:spPr>
          <a:solidFill>
            <a:srgbClr val="00B0F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8"/>
        <c:spPr>
          <a:solidFill>
            <a:srgbClr val="FF65D7"/>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9"/>
        <c:spPr>
          <a:solidFill>
            <a:srgbClr val="00B0F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10"/>
        <c:spPr>
          <a:solidFill>
            <a:srgbClr val="FF65D7"/>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11"/>
        <c:spPr>
          <a:solidFill>
            <a:srgbClr val="00B0F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1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1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1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15"/>
        <c:spPr>
          <a:solidFill>
            <a:srgbClr val="FF65D7"/>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16"/>
        <c:spPr>
          <a:solidFill>
            <a:srgbClr val="00B0F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1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1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1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20"/>
        <c:spPr>
          <a:solidFill>
            <a:srgbClr val="FF65D7"/>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21"/>
        <c:spPr>
          <a:solidFill>
            <a:srgbClr val="00B0F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2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2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2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25"/>
        <c:spPr>
          <a:solidFill>
            <a:srgbClr val="FF65D7"/>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26"/>
        <c:spPr>
          <a:solidFill>
            <a:srgbClr val="00B0F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2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2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2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30"/>
        <c:spPr>
          <a:solidFill>
            <a:srgbClr val="FF65D7"/>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31"/>
        <c:spPr>
          <a:solidFill>
            <a:srgbClr val="00B0F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3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3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3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35"/>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Pivot!$K$6</c:f>
              <c:strCache>
                <c:ptCount val="1"/>
                <c:pt idx="0">
                  <c:v>Total</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Pivot!$J$7:$J$10</c:f>
              <c:strCache>
                <c:ptCount val="4"/>
                <c:pt idx="0">
                  <c:v>Mutual Fund</c:v>
                </c:pt>
                <c:pt idx="1">
                  <c:v>Equity</c:v>
                </c:pt>
                <c:pt idx="2">
                  <c:v>Fixed Deposits</c:v>
                </c:pt>
                <c:pt idx="3">
                  <c:v>Public Provident Fund</c:v>
                </c:pt>
              </c:strCache>
            </c:strRef>
          </c:cat>
          <c:val>
            <c:numRef>
              <c:f>Pivot!$K$7:$K$10</c:f>
              <c:numCache>
                <c:formatCode>General</c:formatCode>
                <c:ptCount val="4"/>
                <c:pt idx="0">
                  <c:v>18</c:v>
                </c:pt>
                <c:pt idx="1">
                  <c:v>10</c:v>
                </c:pt>
                <c:pt idx="2">
                  <c:v>9</c:v>
                </c:pt>
                <c:pt idx="3">
                  <c:v>3</c:v>
                </c:pt>
              </c:numCache>
            </c:numRef>
          </c:val>
          <c:extLst>
            <c:ext xmlns:c16="http://schemas.microsoft.com/office/drawing/2014/chart" uri="{C3380CC4-5D6E-409C-BE32-E72D297353CC}">
              <c16:uniqueId val="{00000002-3239-47A6-B7DF-4BBFAB56B08C}"/>
            </c:ext>
          </c:extLst>
        </c:ser>
        <c:dLbls>
          <c:dLblPos val="outEnd"/>
          <c:showLegendKey val="0"/>
          <c:showVal val="1"/>
          <c:showCatName val="0"/>
          <c:showSerName val="0"/>
          <c:showPercent val="0"/>
          <c:showBubbleSize val="0"/>
        </c:dLbls>
        <c:gapWidth val="182"/>
        <c:axId val="704381584"/>
        <c:axId val="704390224"/>
      </c:barChart>
      <c:catAx>
        <c:axId val="704381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4390224"/>
        <c:crosses val="autoZero"/>
        <c:auto val="1"/>
        <c:lblAlgn val="ctr"/>
        <c:lblOffset val="100"/>
        <c:noMultiLvlLbl val="0"/>
      </c:catAx>
      <c:valAx>
        <c:axId val="704390224"/>
        <c:scaling>
          <c:orientation val="minMax"/>
        </c:scaling>
        <c:delete val="1"/>
        <c:axPos val="l"/>
        <c:numFmt formatCode="General" sourceLinked="1"/>
        <c:majorTickMark val="none"/>
        <c:minorTickMark val="none"/>
        <c:tickLblPos val="nextTo"/>
        <c:crossAx val="704381584"/>
        <c:crosses val="autoZero"/>
        <c:crossBetween val="between"/>
      </c:valAx>
      <c:spPr>
        <a:noFill/>
        <a:ln w="25400">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6.xlsm]Pivot!PT_Duration</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How long do investors plan to invest?</a:t>
            </a:r>
          </a:p>
        </c:rich>
      </c:tx>
      <c:layout>
        <c:manualLayout>
          <c:xMode val="edge"/>
          <c:yMode val="edge"/>
          <c:x val="0.22826377952755905"/>
          <c:y val="3.70370370370370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65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65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65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65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FF65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65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FF65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FF65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rgbClr val="FF65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rgbClr val="FF65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Pivot!$I$24</c:f>
              <c:strCache>
                <c:ptCount val="1"/>
                <c:pt idx="0">
                  <c:v>Total</c:v>
                </c:pt>
              </c:strCache>
            </c:strRef>
          </c:tx>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cat>
            <c:strRef>
              <c:f>Pivot!$H$25:$H$28</c:f>
              <c:strCache>
                <c:ptCount val="4"/>
                <c:pt idx="0">
                  <c:v>1-3 years</c:v>
                </c:pt>
                <c:pt idx="1">
                  <c:v>3-5 years</c:v>
                </c:pt>
                <c:pt idx="2">
                  <c:v>Less than 1 year</c:v>
                </c:pt>
                <c:pt idx="3">
                  <c:v>More than 5 years</c:v>
                </c:pt>
              </c:strCache>
            </c:strRef>
          </c:cat>
          <c:val>
            <c:numRef>
              <c:f>Pivot!$I$25:$I$28</c:f>
              <c:numCache>
                <c:formatCode>General</c:formatCode>
                <c:ptCount val="4"/>
                <c:pt idx="0">
                  <c:v>18</c:v>
                </c:pt>
                <c:pt idx="1">
                  <c:v>19</c:v>
                </c:pt>
                <c:pt idx="2">
                  <c:v>2</c:v>
                </c:pt>
                <c:pt idx="3">
                  <c:v>1</c:v>
                </c:pt>
              </c:numCache>
            </c:numRef>
          </c:val>
          <c:extLst>
            <c:ext xmlns:c16="http://schemas.microsoft.com/office/drawing/2014/chart" uri="{C3380CC4-5D6E-409C-BE32-E72D297353CC}">
              <c16:uniqueId val="{0000000A-C915-4F44-9BCD-9AC48EE0472A}"/>
            </c:ext>
          </c:extLst>
        </c:ser>
        <c:dLbls>
          <c:showLegendKey val="0"/>
          <c:showVal val="0"/>
          <c:showCatName val="0"/>
          <c:showSerName val="0"/>
          <c:showPercent val="0"/>
          <c:showBubbleSize val="0"/>
          <c:showLeaderLines val="1"/>
        </c:dLbls>
        <c:firstSliceAng val="0"/>
        <c:holeSize val="50"/>
      </c:doughnutChart>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6.xlsm]Pivot!PT_Savings</c:name>
    <c:fmtId val="4"/>
  </c:pivotSource>
  <c:chart>
    <c:title>
      <c:tx>
        <c:strRef>
          <c:f>Pivot!$H$59</c:f>
          <c:strCache>
            <c:ptCount val="1"/>
            <c:pt idx="0">
              <c:v>  What are investors saving for?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Pivot!$H$59</c:f>
              <c:strCache>
                <c:ptCount val="1"/>
                <c:pt idx="0">
                  <c:v>Total</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Pivot!$H$59</c:f>
              <c:strCache>
                <c:ptCount val="3"/>
                <c:pt idx="0">
                  <c:v>Education</c:v>
                </c:pt>
                <c:pt idx="1">
                  <c:v>Health Care</c:v>
                </c:pt>
                <c:pt idx="2">
                  <c:v>Retirement Plan</c:v>
                </c:pt>
              </c:strCache>
            </c:strRef>
          </c:cat>
          <c:val>
            <c:numRef>
              <c:f>Pivot!$H$59</c:f>
              <c:numCache>
                <c:formatCode>General</c:formatCode>
                <c:ptCount val="3"/>
                <c:pt idx="0">
                  <c:v>3</c:v>
                </c:pt>
                <c:pt idx="1">
                  <c:v>13</c:v>
                </c:pt>
                <c:pt idx="2">
                  <c:v>24</c:v>
                </c:pt>
              </c:numCache>
            </c:numRef>
          </c:val>
          <c:extLst>
            <c:ext xmlns:c16="http://schemas.microsoft.com/office/drawing/2014/chart" uri="{C3380CC4-5D6E-409C-BE32-E72D297353CC}">
              <c16:uniqueId val="{00000000-6590-4809-AACF-4BF1C27A3C43}"/>
            </c:ext>
          </c:extLst>
        </c:ser>
        <c:dLbls>
          <c:dLblPos val="outEnd"/>
          <c:showLegendKey val="0"/>
          <c:showVal val="1"/>
          <c:showCatName val="0"/>
          <c:showSerName val="0"/>
          <c:showPercent val="0"/>
          <c:showBubbleSize val="0"/>
        </c:dLbls>
        <c:gapWidth val="219"/>
        <c:overlap val="-27"/>
        <c:axId val="851275280"/>
        <c:axId val="851277200"/>
      </c:barChart>
      <c:catAx>
        <c:axId val="85127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1277200"/>
        <c:crosses val="autoZero"/>
        <c:auto val="1"/>
        <c:lblAlgn val="ctr"/>
        <c:lblOffset val="100"/>
        <c:noMultiLvlLbl val="0"/>
      </c:catAx>
      <c:valAx>
        <c:axId val="851277200"/>
        <c:scaling>
          <c:orientation val="minMax"/>
        </c:scaling>
        <c:delete val="1"/>
        <c:axPos val="l"/>
        <c:numFmt formatCode="General" sourceLinked="1"/>
        <c:majorTickMark val="none"/>
        <c:minorTickMark val="none"/>
        <c:tickLblPos val="nextTo"/>
        <c:crossAx val="8512752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6.xlsm]Pivot!PT_Factor</c:name>
    <c:fmtId val="4"/>
  </c:pivotSource>
  <c:chart>
    <c:title>
      <c:tx>
        <c:strRef>
          <c:f>Pivot!$B$41</c:f>
          <c:strCache>
            <c:ptCount val="1"/>
            <c:pt idx="0">
              <c:v>  What drives investment decisions?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Pivot!$B$41</c:f>
              <c:strCache>
                <c:ptCount val="1"/>
                <c:pt idx="0">
                  <c:v>Total</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Pivot!$B$41</c:f>
              <c:strCache>
                <c:ptCount val="3"/>
                <c:pt idx="0">
                  <c:v>Locking Period</c:v>
                </c:pt>
                <c:pt idx="1">
                  <c:v>Returns</c:v>
                </c:pt>
                <c:pt idx="2">
                  <c:v>Risk</c:v>
                </c:pt>
              </c:strCache>
            </c:strRef>
          </c:cat>
          <c:val>
            <c:numRef>
              <c:f>Pivot!$B$41</c:f>
              <c:numCache>
                <c:formatCode>General</c:formatCode>
                <c:ptCount val="3"/>
                <c:pt idx="0">
                  <c:v>1</c:v>
                </c:pt>
                <c:pt idx="1">
                  <c:v>25</c:v>
                </c:pt>
                <c:pt idx="2">
                  <c:v>14</c:v>
                </c:pt>
              </c:numCache>
            </c:numRef>
          </c:val>
          <c:extLst>
            <c:ext xmlns:c16="http://schemas.microsoft.com/office/drawing/2014/chart" uri="{C3380CC4-5D6E-409C-BE32-E72D297353CC}">
              <c16:uniqueId val="{00000000-B08B-4E95-BC46-65280D9677B1}"/>
            </c:ext>
          </c:extLst>
        </c:ser>
        <c:dLbls>
          <c:dLblPos val="outEnd"/>
          <c:showLegendKey val="0"/>
          <c:showVal val="1"/>
          <c:showCatName val="0"/>
          <c:showSerName val="0"/>
          <c:showPercent val="0"/>
          <c:showBubbleSize val="0"/>
        </c:dLbls>
        <c:gapWidth val="182"/>
        <c:axId val="872156192"/>
        <c:axId val="872156672"/>
      </c:barChart>
      <c:catAx>
        <c:axId val="8721561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2156672"/>
        <c:crosses val="autoZero"/>
        <c:auto val="1"/>
        <c:lblAlgn val="ctr"/>
        <c:lblOffset val="100"/>
        <c:noMultiLvlLbl val="0"/>
      </c:catAx>
      <c:valAx>
        <c:axId val="872156672"/>
        <c:scaling>
          <c:orientation val="minMax"/>
        </c:scaling>
        <c:delete val="1"/>
        <c:axPos val="l"/>
        <c:numFmt formatCode="General" sourceLinked="1"/>
        <c:majorTickMark val="out"/>
        <c:minorTickMark val="none"/>
        <c:tickLblPos val="nextTo"/>
        <c:crossAx val="8721561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6.xlsm]Pivot!PT_Expect</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Return expectations by gender</a:t>
            </a:r>
          </a:p>
        </c:rich>
      </c:tx>
      <c:layout>
        <c:manualLayout>
          <c:xMode val="edge"/>
          <c:yMode val="edge"/>
          <c:x val="0.22826377952755905"/>
          <c:y val="3.70370370370370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65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65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65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65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65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65D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pivotFmt>
    </c:pivotFmts>
    <c:plotArea>
      <c:layout/>
      <c:barChart>
        <c:barDir val="bar"/>
        <c:grouping val="clustered"/>
        <c:varyColors val="0"/>
        <c:ser>
          <c:idx val="0"/>
          <c:order val="0"/>
          <c:tx>
            <c:strRef>
              <c:f>Pivot!$C$60:$C$61</c:f>
              <c:strCache>
                <c:ptCount val="1"/>
                <c:pt idx="0">
                  <c:v>Female</c:v>
                </c:pt>
              </c:strCache>
            </c:strRef>
          </c:tx>
          <c:spPr>
            <a:solidFill>
              <a:srgbClr val="FF65D7"/>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Pivot!$B$62:$B$64</c:f>
              <c:strCache>
                <c:ptCount val="3"/>
                <c:pt idx="0">
                  <c:v>10%-20%</c:v>
                </c:pt>
                <c:pt idx="1">
                  <c:v>20%-30%</c:v>
                </c:pt>
                <c:pt idx="2">
                  <c:v>30%-40%</c:v>
                </c:pt>
              </c:strCache>
            </c:strRef>
          </c:cat>
          <c:val>
            <c:numRef>
              <c:f>Pivot!$C$62:$C$64</c:f>
              <c:numCache>
                <c:formatCode>General</c:formatCode>
                <c:ptCount val="3"/>
                <c:pt idx="0">
                  <c:v>1</c:v>
                </c:pt>
                <c:pt idx="1">
                  <c:v>12</c:v>
                </c:pt>
                <c:pt idx="2">
                  <c:v>2</c:v>
                </c:pt>
              </c:numCache>
            </c:numRef>
          </c:val>
          <c:extLst>
            <c:ext xmlns:c16="http://schemas.microsoft.com/office/drawing/2014/chart" uri="{C3380CC4-5D6E-409C-BE32-E72D297353CC}">
              <c16:uniqueId val="{00000003-BC03-4558-8B62-16CBB4A19946}"/>
            </c:ext>
          </c:extLst>
        </c:ser>
        <c:ser>
          <c:idx val="1"/>
          <c:order val="1"/>
          <c:tx>
            <c:strRef>
              <c:f>Pivot!$D$60:$D$61</c:f>
              <c:strCache>
                <c:ptCount val="1"/>
                <c:pt idx="0">
                  <c:v>Male</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Pivot!$B$62:$B$64</c:f>
              <c:strCache>
                <c:ptCount val="3"/>
                <c:pt idx="0">
                  <c:v>10%-20%</c:v>
                </c:pt>
                <c:pt idx="1">
                  <c:v>20%-30%</c:v>
                </c:pt>
                <c:pt idx="2">
                  <c:v>30%-40%</c:v>
                </c:pt>
              </c:strCache>
            </c:strRef>
          </c:cat>
          <c:val>
            <c:numRef>
              <c:f>Pivot!$D$62:$D$64</c:f>
              <c:numCache>
                <c:formatCode>General</c:formatCode>
                <c:ptCount val="3"/>
                <c:pt idx="0">
                  <c:v>2</c:v>
                </c:pt>
                <c:pt idx="1">
                  <c:v>20</c:v>
                </c:pt>
                <c:pt idx="2">
                  <c:v>3</c:v>
                </c:pt>
              </c:numCache>
            </c:numRef>
          </c:val>
          <c:extLst>
            <c:ext xmlns:c16="http://schemas.microsoft.com/office/drawing/2014/chart" uri="{C3380CC4-5D6E-409C-BE32-E72D297353CC}">
              <c16:uniqueId val="{00000006-BC03-4558-8B62-16CBB4A19946}"/>
            </c:ext>
          </c:extLst>
        </c:ser>
        <c:dLbls>
          <c:dLblPos val="outEnd"/>
          <c:showLegendKey val="0"/>
          <c:showVal val="1"/>
          <c:showCatName val="0"/>
          <c:showSerName val="0"/>
          <c:showPercent val="0"/>
          <c:showBubbleSize val="0"/>
        </c:dLbls>
        <c:gapWidth val="182"/>
        <c:axId val="704381584"/>
        <c:axId val="704390224"/>
      </c:barChart>
      <c:catAx>
        <c:axId val="7043815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4390224"/>
        <c:crosses val="autoZero"/>
        <c:auto val="1"/>
        <c:lblAlgn val="ctr"/>
        <c:lblOffset val="100"/>
        <c:noMultiLvlLbl val="0"/>
      </c:catAx>
      <c:valAx>
        <c:axId val="704390224"/>
        <c:scaling>
          <c:orientation val="minMax"/>
        </c:scaling>
        <c:delete val="1"/>
        <c:axPos val="b"/>
        <c:numFmt formatCode="General" sourceLinked="1"/>
        <c:majorTickMark val="none"/>
        <c:minorTickMark val="none"/>
        <c:tickLblPos val="nextTo"/>
        <c:crossAx val="704381584"/>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6.xlsm]Pivot!PT_Monitor</c:name>
    <c:fmtId val="4"/>
  </c:pivotSource>
  <c:chart>
    <c:title>
      <c:tx>
        <c:strRef>
          <c:f>Pivot!$H$41</c:f>
          <c:strCache>
            <c:ptCount val="1"/>
            <c:pt idx="0">
              <c:v>  How often do investors monitor portfolios?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Pivot!$H$41</c:f>
              <c:strCache>
                <c:ptCount val="1"/>
                <c:pt idx="0">
                  <c:v>Total</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Pivot!$H$41</c:f>
              <c:strCache>
                <c:ptCount val="3"/>
                <c:pt idx="0">
                  <c:v>Daily</c:v>
                </c:pt>
                <c:pt idx="1">
                  <c:v>Monthly</c:v>
                </c:pt>
                <c:pt idx="2">
                  <c:v>Weekly</c:v>
                </c:pt>
              </c:strCache>
            </c:strRef>
          </c:cat>
          <c:val>
            <c:numRef>
              <c:f>Pivot!$H$41</c:f>
              <c:numCache>
                <c:formatCode>General</c:formatCode>
                <c:ptCount val="3"/>
                <c:pt idx="0">
                  <c:v>4</c:v>
                </c:pt>
                <c:pt idx="1">
                  <c:v>29</c:v>
                </c:pt>
                <c:pt idx="2">
                  <c:v>7</c:v>
                </c:pt>
              </c:numCache>
            </c:numRef>
          </c:val>
          <c:extLst>
            <c:ext xmlns:c16="http://schemas.microsoft.com/office/drawing/2014/chart" uri="{C3380CC4-5D6E-409C-BE32-E72D297353CC}">
              <c16:uniqueId val="{00000002-E87C-43CE-A255-846DA7D4515B}"/>
            </c:ext>
          </c:extLst>
        </c:ser>
        <c:dLbls>
          <c:dLblPos val="outEnd"/>
          <c:showLegendKey val="0"/>
          <c:showVal val="1"/>
          <c:showCatName val="0"/>
          <c:showSerName val="0"/>
          <c:showPercent val="0"/>
          <c:showBubbleSize val="0"/>
        </c:dLbls>
        <c:gapWidth val="182"/>
        <c:axId val="872156192"/>
        <c:axId val="872156672"/>
      </c:barChart>
      <c:catAx>
        <c:axId val="8721561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2156672"/>
        <c:crosses val="autoZero"/>
        <c:auto val="1"/>
        <c:lblAlgn val="ctr"/>
        <c:lblOffset val="100"/>
        <c:noMultiLvlLbl val="0"/>
      </c:catAx>
      <c:valAx>
        <c:axId val="872156672"/>
        <c:scaling>
          <c:orientation val="minMax"/>
        </c:scaling>
        <c:delete val="1"/>
        <c:axPos val="l"/>
        <c:numFmt formatCode="General" sourceLinked="1"/>
        <c:majorTickMark val="out"/>
        <c:minorTickMark val="none"/>
        <c:tickLblPos val="nextTo"/>
        <c:crossAx val="872156192"/>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5.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image" Target="../media/image4.svg"/><Relationship Id="rId2" Type="http://schemas.openxmlformats.org/officeDocument/2006/relationships/chart" Target="../charts/chart2.xml"/><Relationship Id="rId16" Type="http://schemas.openxmlformats.org/officeDocument/2006/relationships/image" Target="../media/image8.sv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3.png"/><Relationship Id="rId5" Type="http://schemas.openxmlformats.org/officeDocument/2006/relationships/chart" Target="../charts/chart5.xml"/><Relationship Id="rId15" Type="http://schemas.openxmlformats.org/officeDocument/2006/relationships/image" Target="../media/image7.png"/><Relationship Id="rId10" Type="http://schemas.openxmlformats.org/officeDocument/2006/relationships/image" Target="../media/image2.svg"/><Relationship Id="rId4" Type="http://schemas.openxmlformats.org/officeDocument/2006/relationships/chart" Target="../charts/chart4.xml"/><Relationship Id="rId9" Type="http://schemas.openxmlformats.org/officeDocument/2006/relationships/image" Target="../media/image1.png"/><Relationship Id="rId14" Type="http://schemas.openxmlformats.org/officeDocument/2006/relationships/image" Target="../media/image6.svg"/></Relationships>
</file>

<file path=xl/drawings/drawing1.xml><?xml version="1.0" encoding="utf-8"?>
<xdr:wsDr xmlns:xdr="http://schemas.openxmlformats.org/drawingml/2006/spreadsheetDrawing" xmlns:a="http://schemas.openxmlformats.org/drawingml/2006/main">
  <xdr:twoCellAnchor>
    <xdr:from>
      <xdr:col>0</xdr:col>
      <xdr:colOff>146050</xdr:colOff>
      <xdr:row>7</xdr:row>
      <xdr:rowOff>120650</xdr:rowOff>
    </xdr:from>
    <xdr:to>
      <xdr:col>2</xdr:col>
      <xdr:colOff>349250</xdr:colOff>
      <xdr:row>32</xdr:row>
      <xdr:rowOff>19050</xdr:rowOff>
    </xdr:to>
    <xdr:sp macro="" textlink="">
      <xdr:nvSpPr>
        <xdr:cNvPr id="54" name="Rectangle: Rounded Corners 53">
          <a:extLst>
            <a:ext uri="{FF2B5EF4-FFF2-40B4-BE49-F238E27FC236}">
              <a16:creationId xmlns:a16="http://schemas.microsoft.com/office/drawing/2014/main" id="{7EE22BEC-6408-4D1C-9575-F977B1BFBEE2}"/>
            </a:ext>
          </a:extLst>
        </xdr:cNvPr>
        <xdr:cNvSpPr/>
      </xdr:nvSpPr>
      <xdr:spPr>
        <a:xfrm>
          <a:off x="146050" y="1409700"/>
          <a:ext cx="1422400" cy="4502150"/>
        </a:xfrm>
        <a:prstGeom prst="roundRect">
          <a:avLst>
            <a:gd name="adj" fmla="val 8185"/>
          </a:avLst>
        </a:prstGeom>
        <a:solidFill>
          <a:schemeClr val="bg1"/>
        </a:solidFill>
        <a:ln>
          <a:solidFill>
            <a:schemeClr val="bg2">
              <a:lumMod val="9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2000"/>
        </a:p>
      </xdr:txBody>
    </xdr:sp>
    <xdr:clientData/>
  </xdr:twoCellAnchor>
  <xdr:twoCellAnchor>
    <xdr:from>
      <xdr:col>9</xdr:col>
      <xdr:colOff>133350</xdr:colOff>
      <xdr:row>45</xdr:row>
      <xdr:rowOff>95250</xdr:rowOff>
    </xdr:from>
    <xdr:to>
      <xdr:col>15</xdr:col>
      <xdr:colOff>222250</xdr:colOff>
      <xdr:row>56</xdr:row>
      <xdr:rowOff>101600</xdr:rowOff>
    </xdr:to>
    <xdr:sp macro="" textlink="">
      <xdr:nvSpPr>
        <xdr:cNvPr id="30" name="Rectangle: Rounded Corners 29">
          <a:extLst>
            <a:ext uri="{FF2B5EF4-FFF2-40B4-BE49-F238E27FC236}">
              <a16:creationId xmlns:a16="http://schemas.microsoft.com/office/drawing/2014/main" id="{1054DAEC-E176-4970-8204-313F34533612}"/>
            </a:ext>
          </a:extLst>
        </xdr:cNvPr>
        <xdr:cNvSpPr/>
      </xdr:nvSpPr>
      <xdr:spPr>
        <a:xfrm>
          <a:off x="5619750" y="8382000"/>
          <a:ext cx="3746500" cy="2032000"/>
        </a:xfrm>
        <a:prstGeom prst="roundRect">
          <a:avLst>
            <a:gd name="adj" fmla="val 6979"/>
          </a:avLst>
        </a:prstGeom>
        <a:solidFill>
          <a:schemeClr val="bg1"/>
        </a:solidFill>
        <a:ln>
          <a:solidFill>
            <a:schemeClr val="bg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501650</xdr:colOff>
      <xdr:row>45</xdr:row>
      <xdr:rowOff>95250</xdr:rowOff>
    </xdr:from>
    <xdr:to>
      <xdr:col>8</xdr:col>
      <xdr:colOff>590550</xdr:colOff>
      <xdr:row>56</xdr:row>
      <xdr:rowOff>101600</xdr:rowOff>
    </xdr:to>
    <xdr:sp macro="" textlink="">
      <xdr:nvSpPr>
        <xdr:cNvPr id="28" name="Rectangle: Rounded Corners 27">
          <a:extLst>
            <a:ext uri="{FF2B5EF4-FFF2-40B4-BE49-F238E27FC236}">
              <a16:creationId xmlns:a16="http://schemas.microsoft.com/office/drawing/2014/main" id="{6E209BB2-3334-4855-8998-02E6545322C2}"/>
            </a:ext>
          </a:extLst>
        </xdr:cNvPr>
        <xdr:cNvSpPr/>
      </xdr:nvSpPr>
      <xdr:spPr>
        <a:xfrm>
          <a:off x="1720850" y="8382000"/>
          <a:ext cx="3746500" cy="2032000"/>
        </a:xfrm>
        <a:prstGeom prst="roundRect">
          <a:avLst>
            <a:gd name="adj" fmla="val 6979"/>
          </a:avLst>
        </a:prstGeom>
        <a:solidFill>
          <a:schemeClr val="bg1"/>
        </a:solidFill>
        <a:ln>
          <a:solidFill>
            <a:schemeClr val="bg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127000</xdr:colOff>
      <xdr:row>33</xdr:row>
      <xdr:rowOff>88900</xdr:rowOff>
    </xdr:from>
    <xdr:to>
      <xdr:col>15</xdr:col>
      <xdr:colOff>215900</xdr:colOff>
      <xdr:row>44</xdr:row>
      <xdr:rowOff>95250</xdr:rowOff>
    </xdr:to>
    <xdr:sp macro="" textlink="">
      <xdr:nvSpPr>
        <xdr:cNvPr id="26" name="Rectangle: Rounded Corners 25">
          <a:extLst>
            <a:ext uri="{FF2B5EF4-FFF2-40B4-BE49-F238E27FC236}">
              <a16:creationId xmlns:a16="http://schemas.microsoft.com/office/drawing/2014/main" id="{6F35A3B7-0F52-4628-A1CE-879244DE5B25}"/>
            </a:ext>
          </a:extLst>
        </xdr:cNvPr>
        <xdr:cNvSpPr/>
      </xdr:nvSpPr>
      <xdr:spPr>
        <a:xfrm>
          <a:off x="5613400" y="6165850"/>
          <a:ext cx="3746500" cy="2032000"/>
        </a:xfrm>
        <a:prstGeom prst="roundRect">
          <a:avLst>
            <a:gd name="adj" fmla="val 6979"/>
          </a:avLst>
        </a:prstGeom>
        <a:solidFill>
          <a:schemeClr val="bg1"/>
        </a:solidFill>
        <a:ln>
          <a:solidFill>
            <a:schemeClr val="bg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44450</xdr:colOff>
      <xdr:row>0</xdr:row>
      <xdr:rowOff>44450</xdr:rowOff>
    </xdr:from>
    <xdr:to>
      <xdr:col>19</xdr:col>
      <xdr:colOff>120650</xdr:colOff>
      <xdr:row>4</xdr:row>
      <xdr:rowOff>82550</xdr:rowOff>
    </xdr:to>
    <xdr:sp macro="" textlink="">
      <xdr:nvSpPr>
        <xdr:cNvPr id="2" name="Rectangle: Rounded Corners 1">
          <a:extLst>
            <a:ext uri="{FF2B5EF4-FFF2-40B4-BE49-F238E27FC236}">
              <a16:creationId xmlns:a16="http://schemas.microsoft.com/office/drawing/2014/main" id="{35434D1F-38E2-1174-F64D-03E82B921683}"/>
            </a:ext>
          </a:extLst>
        </xdr:cNvPr>
        <xdr:cNvSpPr/>
      </xdr:nvSpPr>
      <xdr:spPr>
        <a:xfrm>
          <a:off x="44450" y="44450"/>
          <a:ext cx="11658600" cy="774700"/>
        </a:xfrm>
        <a:prstGeom prst="roundRect">
          <a:avLst>
            <a:gd name="adj" fmla="val 10110"/>
          </a:avLst>
        </a:prstGeom>
        <a:solidFill>
          <a:srgbClr val="0F172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a:t>  INVESTMENT SURVEY — ANALYSIS DASHBOARD</a:t>
          </a:r>
        </a:p>
      </xdr:txBody>
    </xdr:sp>
    <xdr:clientData/>
  </xdr:twoCellAnchor>
  <xdr:twoCellAnchor>
    <xdr:from>
      <xdr:col>3</xdr:col>
      <xdr:colOff>146050</xdr:colOff>
      <xdr:row>3</xdr:row>
      <xdr:rowOff>12700</xdr:rowOff>
    </xdr:from>
    <xdr:to>
      <xdr:col>5</xdr:col>
      <xdr:colOff>425450</xdr:colOff>
      <xdr:row>7</xdr:row>
      <xdr:rowOff>31750</xdr:rowOff>
    </xdr:to>
    <xdr:sp macro="" textlink="">
      <xdr:nvSpPr>
        <xdr:cNvPr id="3" name="Rectangle: Rounded Corners 2">
          <a:extLst>
            <a:ext uri="{FF2B5EF4-FFF2-40B4-BE49-F238E27FC236}">
              <a16:creationId xmlns:a16="http://schemas.microsoft.com/office/drawing/2014/main" id="{66F12687-4693-3408-7F03-F14BEC4DC91C}"/>
            </a:ext>
          </a:extLst>
        </xdr:cNvPr>
        <xdr:cNvSpPr/>
      </xdr:nvSpPr>
      <xdr:spPr>
        <a:xfrm>
          <a:off x="1974850" y="565150"/>
          <a:ext cx="1498600" cy="75565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226483</xdr:colOff>
      <xdr:row>3</xdr:row>
      <xdr:rowOff>12700</xdr:rowOff>
    </xdr:from>
    <xdr:to>
      <xdr:col>8</xdr:col>
      <xdr:colOff>505883</xdr:colOff>
      <xdr:row>7</xdr:row>
      <xdr:rowOff>31750</xdr:rowOff>
    </xdr:to>
    <xdr:sp macro="" textlink="">
      <xdr:nvSpPr>
        <xdr:cNvPr id="4" name="Rectangle: Rounded Corners 3">
          <a:extLst>
            <a:ext uri="{FF2B5EF4-FFF2-40B4-BE49-F238E27FC236}">
              <a16:creationId xmlns:a16="http://schemas.microsoft.com/office/drawing/2014/main" id="{BAA645CE-C6E8-8643-F9C6-47D1719B7D2C}"/>
            </a:ext>
          </a:extLst>
        </xdr:cNvPr>
        <xdr:cNvSpPr/>
      </xdr:nvSpPr>
      <xdr:spPr>
        <a:xfrm>
          <a:off x="3884083" y="565150"/>
          <a:ext cx="1498600" cy="75565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300566</xdr:colOff>
      <xdr:row>3</xdr:row>
      <xdr:rowOff>12700</xdr:rowOff>
    </xdr:from>
    <xdr:to>
      <xdr:col>11</xdr:col>
      <xdr:colOff>579966</xdr:colOff>
      <xdr:row>7</xdr:row>
      <xdr:rowOff>31750</xdr:rowOff>
    </xdr:to>
    <xdr:sp macro="" textlink="">
      <xdr:nvSpPr>
        <xdr:cNvPr id="5" name="Rectangle: Rounded Corners 4">
          <a:extLst>
            <a:ext uri="{FF2B5EF4-FFF2-40B4-BE49-F238E27FC236}">
              <a16:creationId xmlns:a16="http://schemas.microsoft.com/office/drawing/2014/main" id="{F9514919-55A4-0967-1F91-AEEDAA3032D0}"/>
            </a:ext>
          </a:extLst>
        </xdr:cNvPr>
        <xdr:cNvSpPr/>
      </xdr:nvSpPr>
      <xdr:spPr>
        <a:xfrm>
          <a:off x="5786966" y="565150"/>
          <a:ext cx="1498600" cy="75565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374650</xdr:colOff>
      <xdr:row>3</xdr:row>
      <xdr:rowOff>12700</xdr:rowOff>
    </xdr:from>
    <xdr:to>
      <xdr:col>15</xdr:col>
      <xdr:colOff>44450</xdr:colOff>
      <xdr:row>7</xdr:row>
      <xdr:rowOff>31750</xdr:rowOff>
    </xdr:to>
    <xdr:sp macro="" textlink="">
      <xdr:nvSpPr>
        <xdr:cNvPr id="6" name="Rectangle: Rounded Corners 5">
          <a:extLst>
            <a:ext uri="{FF2B5EF4-FFF2-40B4-BE49-F238E27FC236}">
              <a16:creationId xmlns:a16="http://schemas.microsoft.com/office/drawing/2014/main" id="{E265D75B-B14A-530B-9A12-01F37C8B9D3A}"/>
            </a:ext>
          </a:extLst>
        </xdr:cNvPr>
        <xdr:cNvSpPr/>
      </xdr:nvSpPr>
      <xdr:spPr>
        <a:xfrm>
          <a:off x="7689850" y="565150"/>
          <a:ext cx="1498600" cy="75565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565150</xdr:colOff>
      <xdr:row>9</xdr:row>
      <xdr:rowOff>57150</xdr:rowOff>
    </xdr:from>
    <xdr:to>
      <xdr:col>9</xdr:col>
      <xdr:colOff>44450</xdr:colOff>
      <xdr:row>20</xdr:row>
      <xdr:rowOff>63500</xdr:rowOff>
    </xdr:to>
    <xdr:grpSp>
      <xdr:nvGrpSpPr>
        <xdr:cNvPr id="10" name="Group 9">
          <a:extLst>
            <a:ext uri="{FF2B5EF4-FFF2-40B4-BE49-F238E27FC236}">
              <a16:creationId xmlns:a16="http://schemas.microsoft.com/office/drawing/2014/main" id="{E4A37613-FADE-EDDE-30BD-BCC9DEC2D0C4}"/>
            </a:ext>
          </a:extLst>
        </xdr:cNvPr>
        <xdr:cNvGrpSpPr/>
      </xdr:nvGrpSpPr>
      <xdr:grpSpPr>
        <a:xfrm>
          <a:off x="1784350" y="1714500"/>
          <a:ext cx="3746500" cy="2032000"/>
          <a:chOff x="2051050" y="1841500"/>
          <a:chExt cx="4210050" cy="2190750"/>
        </a:xfrm>
      </xdr:grpSpPr>
      <xdr:sp macro="" textlink="">
        <xdr:nvSpPr>
          <xdr:cNvPr id="9" name="Rectangle: Rounded Corners 8">
            <a:extLst>
              <a:ext uri="{FF2B5EF4-FFF2-40B4-BE49-F238E27FC236}">
                <a16:creationId xmlns:a16="http://schemas.microsoft.com/office/drawing/2014/main" id="{603CE490-960A-7370-1068-FBBFA8243745}"/>
              </a:ext>
            </a:extLst>
          </xdr:cNvPr>
          <xdr:cNvSpPr/>
        </xdr:nvSpPr>
        <xdr:spPr>
          <a:xfrm>
            <a:off x="2051050" y="1841500"/>
            <a:ext cx="4210050" cy="2190750"/>
          </a:xfrm>
          <a:prstGeom prst="roundRect">
            <a:avLst>
              <a:gd name="adj" fmla="val 6979"/>
            </a:avLst>
          </a:prstGeom>
          <a:solidFill>
            <a:schemeClr val="bg1"/>
          </a:solidFill>
          <a:ln>
            <a:solidFill>
              <a:schemeClr val="bg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7" name="Chart 6">
            <a:extLst>
              <a:ext uri="{FF2B5EF4-FFF2-40B4-BE49-F238E27FC236}">
                <a16:creationId xmlns:a16="http://schemas.microsoft.com/office/drawing/2014/main" id="{572F0660-2F67-4645-9732-C66A94DB9CDD}"/>
              </a:ext>
            </a:extLst>
          </xdr:cNvPr>
          <xdr:cNvGraphicFramePr>
            <a:graphicFrameLocks/>
          </xdr:cNvGraphicFramePr>
        </xdr:nvGraphicFramePr>
        <xdr:xfrm>
          <a:off x="2229830" y="2007096"/>
          <a:ext cx="3695700" cy="1924050"/>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9</xdr:col>
      <xdr:colOff>146050</xdr:colOff>
      <xdr:row>9</xdr:row>
      <xdr:rowOff>57150</xdr:rowOff>
    </xdr:from>
    <xdr:to>
      <xdr:col>15</xdr:col>
      <xdr:colOff>234950</xdr:colOff>
      <xdr:row>20</xdr:row>
      <xdr:rowOff>63500</xdr:rowOff>
    </xdr:to>
    <xdr:grpSp>
      <xdr:nvGrpSpPr>
        <xdr:cNvPr id="14" name="Group 13">
          <a:extLst>
            <a:ext uri="{FF2B5EF4-FFF2-40B4-BE49-F238E27FC236}">
              <a16:creationId xmlns:a16="http://schemas.microsoft.com/office/drawing/2014/main" id="{EA7358EC-1266-F683-49E7-09CC3CEEC770}"/>
            </a:ext>
          </a:extLst>
        </xdr:cNvPr>
        <xdr:cNvGrpSpPr/>
      </xdr:nvGrpSpPr>
      <xdr:grpSpPr>
        <a:xfrm>
          <a:off x="5632450" y="1714500"/>
          <a:ext cx="3746500" cy="2032000"/>
          <a:chOff x="5911850" y="1765300"/>
          <a:chExt cx="3746500" cy="2032000"/>
        </a:xfrm>
      </xdr:grpSpPr>
      <xdr:sp macro="" textlink="">
        <xdr:nvSpPr>
          <xdr:cNvPr id="13" name="Rectangle: Rounded Corners 12">
            <a:extLst>
              <a:ext uri="{FF2B5EF4-FFF2-40B4-BE49-F238E27FC236}">
                <a16:creationId xmlns:a16="http://schemas.microsoft.com/office/drawing/2014/main" id="{2B3A17A5-F3A7-4FFB-9D5A-E1E651D6135B}"/>
              </a:ext>
            </a:extLst>
          </xdr:cNvPr>
          <xdr:cNvSpPr/>
        </xdr:nvSpPr>
        <xdr:spPr>
          <a:xfrm>
            <a:off x="5911850" y="1765300"/>
            <a:ext cx="3746500" cy="2032000"/>
          </a:xfrm>
          <a:prstGeom prst="roundRect">
            <a:avLst>
              <a:gd name="adj" fmla="val 6979"/>
            </a:avLst>
          </a:prstGeom>
          <a:solidFill>
            <a:schemeClr val="bg1"/>
          </a:solidFill>
          <a:ln>
            <a:solidFill>
              <a:schemeClr val="bg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1" name="Chart 10">
            <a:extLst>
              <a:ext uri="{FF2B5EF4-FFF2-40B4-BE49-F238E27FC236}">
                <a16:creationId xmlns:a16="http://schemas.microsoft.com/office/drawing/2014/main" id="{0846B6CC-36A9-4C70-A5F7-4791E9F5CAC5}"/>
              </a:ext>
            </a:extLst>
          </xdr:cNvPr>
          <xdr:cNvGraphicFramePr>
            <a:graphicFrameLocks/>
          </xdr:cNvGraphicFramePr>
        </xdr:nvGraphicFramePr>
        <xdr:xfrm>
          <a:off x="6231466" y="1828800"/>
          <a:ext cx="3090333" cy="1854200"/>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2</xdr:col>
      <xdr:colOff>539750</xdr:colOff>
      <xdr:row>21</xdr:row>
      <xdr:rowOff>19050</xdr:rowOff>
    </xdr:from>
    <xdr:to>
      <xdr:col>9</xdr:col>
      <xdr:colOff>19050</xdr:colOff>
      <xdr:row>32</xdr:row>
      <xdr:rowOff>25400</xdr:rowOff>
    </xdr:to>
    <xdr:grpSp>
      <xdr:nvGrpSpPr>
        <xdr:cNvPr id="17" name="Group 16">
          <a:extLst>
            <a:ext uri="{FF2B5EF4-FFF2-40B4-BE49-F238E27FC236}">
              <a16:creationId xmlns:a16="http://schemas.microsoft.com/office/drawing/2014/main" id="{4AE93F8D-4F51-AD9E-B323-6BF4B0D6BA52}"/>
            </a:ext>
          </a:extLst>
        </xdr:cNvPr>
        <xdr:cNvGrpSpPr/>
      </xdr:nvGrpSpPr>
      <xdr:grpSpPr>
        <a:xfrm>
          <a:off x="1758950" y="3886200"/>
          <a:ext cx="3746500" cy="2032000"/>
          <a:chOff x="1816100" y="3898900"/>
          <a:chExt cx="3746500" cy="2032000"/>
        </a:xfrm>
      </xdr:grpSpPr>
      <xdr:sp macro="" textlink="">
        <xdr:nvSpPr>
          <xdr:cNvPr id="16" name="Rectangle: Rounded Corners 15">
            <a:extLst>
              <a:ext uri="{FF2B5EF4-FFF2-40B4-BE49-F238E27FC236}">
                <a16:creationId xmlns:a16="http://schemas.microsoft.com/office/drawing/2014/main" id="{6E236C51-E92A-4FE9-9468-68AB3670E515}"/>
              </a:ext>
            </a:extLst>
          </xdr:cNvPr>
          <xdr:cNvSpPr/>
        </xdr:nvSpPr>
        <xdr:spPr>
          <a:xfrm>
            <a:off x="1816100" y="3898900"/>
            <a:ext cx="3746500" cy="2032000"/>
          </a:xfrm>
          <a:prstGeom prst="roundRect">
            <a:avLst>
              <a:gd name="adj" fmla="val 6979"/>
            </a:avLst>
          </a:prstGeom>
          <a:solidFill>
            <a:schemeClr val="bg1"/>
          </a:solidFill>
          <a:ln>
            <a:solidFill>
              <a:schemeClr val="bg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5" name="Chart 14">
            <a:extLst>
              <a:ext uri="{FF2B5EF4-FFF2-40B4-BE49-F238E27FC236}">
                <a16:creationId xmlns:a16="http://schemas.microsoft.com/office/drawing/2014/main" id="{EDD123C2-5079-4367-9155-014E3CE1A070}"/>
              </a:ext>
            </a:extLst>
          </xdr:cNvPr>
          <xdr:cNvGraphicFramePr>
            <a:graphicFrameLocks/>
          </xdr:cNvGraphicFramePr>
        </xdr:nvGraphicFramePr>
        <xdr:xfrm>
          <a:off x="1974850" y="4051300"/>
          <a:ext cx="3270250" cy="1866900"/>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9</xdr:col>
      <xdr:colOff>120650</xdr:colOff>
      <xdr:row>21</xdr:row>
      <xdr:rowOff>31750</xdr:rowOff>
    </xdr:from>
    <xdr:to>
      <xdr:col>15</xdr:col>
      <xdr:colOff>209550</xdr:colOff>
      <xdr:row>32</xdr:row>
      <xdr:rowOff>38100</xdr:rowOff>
    </xdr:to>
    <xdr:grpSp>
      <xdr:nvGrpSpPr>
        <xdr:cNvPr id="20" name="Group 19">
          <a:extLst>
            <a:ext uri="{FF2B5EF4-FFF2-40B4-BE49-F238E27FC236}">
              <a16:creationId xmlns:a16="http://schemas.microsoft.com/office/drawing/2014/main" id="{9EBB4636-1189-5B27-0FFA-645DB20DDCA3}"/>
            </a:ext>
          </a:extLst>
        </xdr:cNvPr>
        <xdr:cNvGrpSpPr/>
      </xdr:nvGrpSpPr>
      <xdr:grpSpPr>
        <a:xfrm>
          <a:off x="5607050" y="3898900"/>
          <a:ext cx="3746500" cy="2032000"/>
          <a:chOff x="5702300" y="3905250"/>
          <a:chExt cx="3746500" cy="2032000"/>
        </a:xfrm>
      </xdr:grpSpPr>
      <xdr:sp macro="" textlink="">
        <xdr:nvSpPr>
          <xdr:cNvPr id="19" name="Rectangle: Rounded Corners 18">
            <a:extLst>
              <a:ext uri="{FF2B5EF4-FFF2-40B4-BE49-F238E27FC236}">
                <a16:creationId xmlns:a16="http://schemas.microsoft.com/office/drawing/2014/main" id="{80B85188-D319-40A6-9831-DD9B224CF542}"/>
              </a:ext>
            </a:extLst>
          </xdr:cNvPr>
          <xdr:cNvSpPr/>
        </xdr:nvSpPr>
        <xdr:spPr>
          <a:xfrm>
            <a:off x="5702300" y="3905250"/>
            <a:ext cx="3746500" cy="2032000"/>
          </a:xfrm>
          <a:prstGeom prst="roundRect">
            <a:avLst>
              <a:gd name="adj" fmla="val 6979"/>
            </a:avLst>
          </a:prstGeom>
          <a:solidFill>
            <a:schemeClr val="bg1"/>
          </a:solidFill>
          <a:ln>
            <a:solidFill>
              <a:schemeClr val="bg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8" name="Chart 17">
            <a:extLst>
              <a:ext uri="{FF2B5EF4-FFF2-40B4-BE49-F238E27FC236}">
                <a16:creationId xmlns:a16="http://schemas.microsoft.com/office/drawing/2014/main" id="{C7AC7B5D-4719-475A-A02A-6105548845E4}"/>
              </a:ext>
            </a:extLst>
          </xdr:cNvPr>
          <xdr:cNvGraphicFramePr>
            <a:graphicFrameLocks/>
          </xdr:cNvGraphicFramePr>
        </xdr:nvGraphicFramePr>
        <xdr:xfrm>
          <a:off x="5930901" y="4044950"/>
          <a:ext cx="3105150" cy="1778000"/>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2</xdr:col>
      <xdr:colOff>546100</xdr:colOff>
      <xdr:row>33</xdr:row>
      <xdr:rowOff>82550</xdr:rowOff>
    </xdr:from>
    <xdr:to>
      <xdr:col>9</xdr:col>
      <xdr:colOff>25400</xdr:colOff>
      <xdr:row>44</xdr:row>
      <xdr:rowOff>88900</xdr:rowOff>
    </xdr:to>
    <xdr:grpSp>
      <xdr:nvGrpSpPr>
        <xdr:cNvPr id="24" name="Group 23">
          <a:extLst>
            <a:ext uri="{FF2B5EF4-FFF2-40B4-BE49-F238E27FC236}">
              <a16:creationId xmlns:a16="http://schemas.microsoft.com/office/drawing/2014/main" id="{361C7756-C1CB-236D-A71E-BDE791C553AF}"/>
            </a:ext>
          </a:extLst>
        </xdr:cNvPr>
        <xdr:cNvGrpSpPr/>
      </xdr:nvGrpSpPr>
      <xdr:grpSpPr>
        <a:xfrm>
          <a:off x="1765300" y="6159500"/>
          <a:ext cx="3746500" cy="2032000"/>
          <a:chOff x="1822450" y="6051550"/>
          <a:chExt cx="3746500" cy="2032000"/>
        </a:xfrm>
      </xdr:grpSpPr>
      <xdr:sp macro="" textlink="">
        <xdr:nvSpPr>
          <xdr:cNvPr id="23" name="Rectangle: Rounded Corners 22">
            <a:extLst>
              <a:ext uri="{FF2B5EF4-FFF2-40B4-BE49-F238E27FC236}">
                <a16:creationId xmlns:a16="http://schemas.microsoft.com/office/drawing/2014/main" id="{D2FE842C-749D-447B-BBBC-EE6FD2B15637}"/>
              </a:ext>
            </a:extLst>
          </xdr:cNvPr>
          <xdr:cNvSpPr/>
        </xdr:nvSpPr>
        <xdr:spPr>
          <a:xfrm>
            <a:off x="1822450" y="6051550"/>
            <a:ext cx="3746500" cy="2032000"/>
          </a:xfrm>
          <a:prstGeom prst="roundRect">
            <a:avLst>
              <a:gd name="adj" fmla="val 6979"/>
            </a:avLst>
          </a:prstGeom>
          <a:solidFill>
            <a:schemeClr val="bg1"/>
          </a:solidFill>
          <a:ln>
            <a:solidFill>
              <a:schemeClr val="bg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1" name="Chart 20">
            <a:extLst>
              <a:ext uri="{FF2B5EF4-FFF2-40B4-BE49-F238E27FC236}">
                <a16:creationId xmlns:a16="http://schemas.microsoft.com/office/drawing/2014/main" id="{8E71BC8D-E146-4251-8C83-BABE4484120C}"/>
              </a:ext>
            </a:extLst>
          </xdr:cNvPr>
          <xdr:cNvGraphicFramePr>
            <a:graphicFrameLocks/>
          </xdr:cNvGraphicFramePr>
        </xdr:nvGraphicFramePr>
        <xdr:xfrm>
          <a:off x="1987550" y="6076950"/>
          <a:ext cx="3143250" cy="1885950"/>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9</xdr:col>
      <xdr:colOff>311150</xdr:colOff>
      <xdr:row>33</xdr:row>
      <xdr:rowOff>165100</xdr:rowOff>
    </xdr:from>
    <xdr:to>
      <xdr:col>14</xdr:col>
      <xdr:colOff>584200</xdr:colOff>
      <xdr:row>44</xdr:row>
      <xdr:rowOff>69850</xdr:rowOff>
    </xdr:to>
    <xdr:graphicFrame macro="">
      <xdr:nvGraphicFramePr>
        <xdr:cNvPr id="25" name="Chart 24">
          <a:extLst>
            <a:ext uri="{FF2B5EF4-FFF2-40B4-BE49-F238E27FC236}">
              <a16:creationId xmlns:a16="http://schemas.microsoft.com/office/drawing/2014/main" id="{4049904D-83BF-4EA8-AFD2-04B0555EEE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133350</xdr:colOff>
      <xdr:row>46</xdr:row>
      <xdr:rowOff>31750</xdr:rowOff>
    </xdr:from>
    <xdr:to>
      <xdr:col>8</xdr:col>
      <xdr:colOff>527050</xdr:colOff>
      <xdr:row>55</xdr:row>
      <xdr:rowOff>152400</xdr:rowOff>
    </xdr:to>
    <xdr:graphicFrame macro="">
      <xdr:nvGraphicFramePr>
        <xdr:cNvPr id="27" name="Chart 26">
          <a:extLst>
            <a:ext uri="{FF2B5EF4-FFF2-40B4-BE49-F238E27FC236}">
              <a16:creationId xmlns:a16="http://schemas.microsoft.com/office/drawing/2014/main" id="{0DA12942-E51D-4C95-9D93-B9B1B29FA0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533400</xdr:colOff>
      <xdr:row>45</xdr:row>
      <xdr:rowOff>163830</xdr:rowOff>
    </xdr:from>
    <xdr:to>
      <xdr:col>14</xdr:col>
      <xdr:colOff>349250</xdr:colOff>
      <xdr:row>55</xdr:row>
      <xdr:rowOff>40640</xdr:rowOff>
    </xdr:to>
    <xdr:graphicFrame macro="">
      <xdr:nvGraphicFramePr>
        <xdr:cNvPr id="29" name="Chart 28">
          <a:extLst>
            <a:ext uri="{FF2B5EF4-FFF2-40B4-BE49-F238E27FC236}">
              <a16:creationId xmlns:a16="http://schemas.microsoft.com/office/drawing/2014/main" id="{FEE984AB-1198-4A03-A616-3A78413DB6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146050</xdr:colOff>
      <xdr:row>3</xdr:row>
      <xdr:rowOff>69850</xdr:rowOff>
    </xdr:from>
    <xdr:to>
      <xdr:col>4</xdr:col>
      <xdr:colOff>577850</xdr:colOff>
      <xdr:row>4</xdr:row>
      <xdr:rowOff>177800</xdr:rowOff>
    </xdr:to>
    <xdr:sp macro="" textlink="">
      <xdr:nvSpPr>
        <xdr:cNvPr id="31" name="Rectangle 30">
          <a:extLst>
            <a:ext uri="{FF2B5EF4-FFF2-40B4-BE49-F238E27FC236}">
              <a16:creationId xmlns:a16="http://schemas.microsoft.com/office/drawing/2014/main" id="{8569BA74-4246-EBAA-6A37-B1BB9BB92EBB}"/>
            </a:ext>
          </a:extLst>
        </xdr:cNvPr>
        <xdr:cNvSpPr/>
      </xdr:nvSpPr>
      <xdr:spPr>
        <a:xfrm>
          <a:off x="1974850" y="622300"/>
          <a:ext cx="1041400" cy="2921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rgbClr val="0F172A"/>
              </a:solidFill>
            </a:rPr>
            <a:t>Total Investors</a:t>
          </a:r>
        </a:p>
      </xdr:txBody>
    </xdr:sp>
    <xdr:clientData/>
  </xdr:twoCellAnchor>
  <xdr:twoCellAnchor>
    <xdr:from>
      <xdr:col>6</xdr:col>
      <xdr:colOff>226483</xdr:colOff>
      <xdr:row>3</xdr:row>
      <xdr:rowOff>50800</xdr:rowOff>
    </xdr:from>
    <xdr:to>
      <xdr:col>7</xdr:col>
      <xdr:colOff>518583</xdr:colOff>
      <xdr:row>4</xdr:row>
      <xdr:rowOff>158750</xdr:rowOff>
    </xdr:to>
    <xdr:sp macro="" textlink="">
      <xdr:nvSpPr>
        <xdr:cNvPr id="34" name="Rectangle 33">
          <a:extLst>
            <a:ext uri="{FF2B5EF4-FFF2-40B4-BE49-F238E27FC236}">
              <a16:creationId xmlns:a16="http://schemas.microsoft.com/office/drawing/2014/main" id="{323A56EF-8023-E4EF-B0C2-E47CC4A0FD12}"/>
            </a:ext>
          </a:extLst>
        </xdr:cNvPr>
        <xdr:cNvSpPr/>
      </xdr:nvSpPr>
      <xdr:spPr>
        <a:xfrm>
          <a:off x="3884083" y="603250"/>
          <a:ext cx="901700" cy="2921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rgbClr val="0F172A"/>
              </a:solidFill>
            </a:rPr>
            <a:t>Average age</a:t>
          </a:r>
        </a:p>
      </xdr:txBody>
    </xdr:sp>
    <xdr:clientData/>
  </xdr:twoCellAnchor>
  <xdr:twoCellAnchor>
    <xdr:from>
      <xdr:col>4</xdr:col>
      <xdr:colOff>41275</xdr:colOff>
      <xdr:row>4</xdr:row>
      <xdr:rowOff>114300</xdr:rowOff>
    </xdr:from>
    <xdr:to>
      <xdr:col>4</xdr:col>
      <xdr:colOff>542925</xdr:colOff>
      <xdr:row>6</xdr:row>
      <xdr:rowOff>120650</xdr:rowOff>
    </xdr:to>
    <xdr:sp macro="" textlink="Pivot!B69">
      <xdr:nvSpPr>
        <xdr:cNvPr id="37" name="Rectangle 36">
          <a:extLst>
            <a:ext uri="{FF2B5EF4-FFF2-40B4-BE49-F238E27FC236}">
              <a16:creationId xmlns:a16="http://schemas.microsoft.com/office/drawing/2014/main" id="{C3C536D5-1476-45AB-A8F5-C261453E93AB}"/>
            </a:ext>
          </a:extLst>
        </xdr:cNvPr>
        <xdr:cNvSpPr/>
      </xdr:nvSpPr>
      <xdr:spPr>
        <a:xfrm>
          <a:off x="2479675" y="850900"/>
          <a:ext cx="501650" cy="3746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3FE0951F-B99D-4982-A9A1-66A33BBF692C}" type="TxLink">
            <a:rPr lang="en-US" sz="2000" b="1" i="0" u="none" strike="noStrike">
              <a:solidFill>
                <a:srgbClr val="000000"/>
              </a:solidFill>
              <a:latin typeface="Aptos Narrow"/>
            </a:rPr>
            <a:t>40</a:t>
          </a:fld>
          <a:endParaRPr lang="en-US" sz="2000" b="1">
            <a:solidFill>
              <a:srgbClr val="0F172A"/>
            </a:solidFill>
          </a:endParaRPr>
        </a:p>
      </xdr:txBody>
    </xdr:sp>
    <xdr:clientData/>
  </xdr:twoCellAnchor>
  <xdr:twoCellAnchor>
    <xdr:from>
      <xdr:col>7</xdr:col>
      <xdr:colOff>35983</xdr:colOff>
      <xdr:row>4</xdr:row>
      <xdr:rowOff>101600</xdr:rowOff>
    </xdr:from>
    <xdr:to>
      <xdr:col>8</xdr:col>
      <xdr:colOff>86783</xdr:colOff>
      <xdr:row>6</xdr:row>
      <xdr:rowOff>107950</xdr:rowOff>
    </xdr:to>
    <xdr:sp macro="" textlink="Pivot!D69">
      <xdr:nvSpPr>
        <xdr:cNvPr id="38" name="Rectangle 37">
          <a:extLst>
            <a:ext uri="{FF2B5EF4-FFF2-40B4-BE49-F238E27FC236}">
              <a16:creationId xmlns:a16="http://schemas.microsoft.com/office/drawing/2014/main" id="{2269E631-A209-6AB1-928B-5CCC661875C7}"/>
            </a:ext>
          </a:extLst>
        </xdr:cNvPr>
        <xdr:cNvSpPr/>
      </xdr:nvSpPr>
      <xdr:spPr>
        <a:xfrm>
          <a:off x="4303183" y="838200"/>
          <a:ext cx="660400" cy="3746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6614C3AF-2562-473F-8F15-04D7A8020C73}" type="TxLink">
            <a:rPr lang="en-US" sz="2000" b="1" i="0" u="none" strike="noStrike">
              <a:solidFill>
                <a:srgbClr val="000000"/>
              </a:solidFill>
              <a:latin typeface="Aptos Narrow"/>
            </a:rPr>
            <a:t>27.8</a:t>
          </a:fld>
          <a:endParaRPr lang="en-US" sz="4000" b="1">
            <a:solidFill>
              <a:srgbClr val="0F172A"/>
            </a:solidFill>
          </a:endParaRPr>
        </a:p>
      </xdr:txBody>
    </xdr:sp>
    <xdr:clientData/>
  </xdr:twoCellAnchor>
  <xdr:twoCellAnchor>
    <xdr:from>
      <xdr:col>9</xdr:col>
      <xdr:colOff>300566</xdr:colOff>
      <xdr:row>3</xdr:row>
      <xdr:rowOff>50800</xdr:rowOff>
    </xdr:from>
    <xdr:to>
      <xdr:col>11</xdr:col>
      <xdr:colOff>336550</xdr:colOff>
      <xdr:row>4</xdr:row>
      <xdr:rowOff>158750</xdr:rowOff>
    </xdr:to>
    <xdr:sp macro="" textlink="">
      <xdr:nvSpPr>
        <xdr:cNvPr id="41" name="Rectangle 40">
          <a:extLst>
            <a:ext uri="{FF2B5EF4-FFF2-40B4-BE49-F238E27FC236}">
              <a16:creationId xmlns:a16="http://schemas.microsoft.com/office/drawing/2014/main" id="{0D3E8C77-62E0-358C-AE6E-05E4329848BD}"/>
            </a:ext>
          </a:extLst>
        </xdr:cNvPr>
        <xdr:cNvSpPr/>
      </xdr:nvSpPr>
      <xdr:spPr>
        <a:xfrm>
          <a:off x="5786966" y="603250"/>
          <a:ext cx="1255184" cy="2921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b="1">
              <a:solidFill>
                <a:srgbClr val="0F172A"/>
              </a:solidFill>
            </a:rPr>
            <a:t>Avenue</a:t>
          </a:r>
          <a:r>
            <a:rPr lang="en-US" b="1" baseline="0">
              <a:solidFill>
                <a:srgbClr val="0F172A"/>
              </a:solidFill>
            </a:rPr>
            <a:t> Popularity</a:t>
          </a:r>
          <a:endParaRPr lang="en-US" sz="1100" b="1">
            <a:solidFill>
              <a:srgbClr val="0F172A"/>
            </a:solidFill>
          </a:endParaRPr>
        </a:p>
      </xdr:txBody>
    </xdr:sp>
    <xdr:clientData/>
  </xdr:twoCellAnchor>
  <xdr:twoCellAnchor>
    <xdr:from>
      <xdr:col>10</xdr:col>
      <xdr:colOff>110066</xdr:colOff>
      <xdr:row>4</xdr:row>
      <xdr:rowOff>114300</xdr:rowOff>
    </xdr:from>
    <xdr:to>
      <xdr:col>11</xdr:col>
      <xdr:colOff>160866</xdr:colOff>
      <xdr:row>6</xdr:row>
      <xdr:rowOff>120650</xdr:rowOff>
    </xdr:to>
    <xdr:sp macro="" textlink="Pivot!K11">
      <xdr:nvSpPr>
        <xdr:cNvPr id="42" name="Rectangle 41">
          <a:extLst>
            <a:ext uri="{FF2B5EF4-FFF2-40B4-BE49-F238E27FC236}">
              <a16:creationId xmlns:a16="http://schemas.microsoft.com/office/drawing/2014/main" id="{C83AF0C1-DEB2-3BE4-78C3-CFDF6F6BBF25}"/>
            </a:ext>
          </a:extLst>
        </xdr:cNvPr>
        <xdr:cNvSpPr/>
      </xdr:nvSpPr>
      <xdr:spPr>
        <a:xfrm>
          <a:off x="6206066" y="850900"/>
          <a:ext cx="660400" cy="3746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01446D0-E010-4F41-A72C-02A4D073D1B3}" type="TxLink">
            <a:rPr lang="en-US" sz="1200" b="1" i="0" u="none" strike="noStrike">
              <a:solidFill>
                <a:srgbClr val="000000"/>
              </a:solidFill>
              <a:latin typeface="Aptos Narrow"/>
            </a:rPr>
            <a:pPr algn="ctr"/>
            <a:t>Mutual Fund</a:t>
          </a:fld>
          <a:endParaRPr lang="en-US" sz="4400" b="1">
            <a:solidFill>
              <a:srgbClr val="0F172A"/>
            </a:solidFill>
          </a:endParaRPr>
        </a:p>
      </xdr:txBody>
    </xdr:sp>
    <xdr:clientData/>
  </xdr:twoCellAnchor>
  <xdr:twoCellAnchor>
    <xdr:from>
      <xdr:col>12</xdr:col>
      <xdr:colOff>374650</xdr:colOff>
      <xdr:row>3</xdr:row>
      <xdr:rowOff>31750</xdr:rowOff>
    </xdr:from>
    <xdr:to>
      <xdr:col>14</xdr:col>
      <xdr:colOff>232834</xdr:colOff>
      <xdr:row>4</xdr:row>
      <xdr:rowOff>139700</xdr:rowOff>
    </xdr:to>
    <xdr:sp macro="" textlink="">
      <xdr:nvSpPr>
        <xdr:cNvPr id="43" name="Rectangle 42">
          <a:extLst>
            <a:ext uri="{FF2B5EF4-FFF2-40B4-BE49-F238E27FC236}">
              <a16:creationId xmlns:a16="http://schemas.microsoft.com/office/drawing/2014/main" id="{5723BC6F-E38D-250F-B4A1-37FDD933AB88}"/>
            </a:ext>
          </a:extLst>
        </xdr:cNvPr>
        <xdr:cNvSpPr/>
      </xdr:nvSpPr>
      <xdr:spPr>
        <a:xfrm>
          <a:off x="7689850" y="584200"/>
          <a:ext cx="1077384" cy="2921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b="1">
              <a:solidFill>
                <a:srgbClr val="0F172A"/>
              </a:solidFill>
            </a:rPr>
            <a:t>Top Objectives</a:t>
          </a:r>
        </a:p>
      </xdr:txBody>
    </xdr:sp>
    <xdr:clientData/>
  </xdr:twoCellAnchor>
  <xdr:twoCellAnchor>
    <xdr:from>
      <xdr:col>12</xdr:col>
      <xdr:colOff>368300</xdr:colOff>
      <xdr:row>4</xdr:row>
      <xdr:rowOff>107950</xdr:rowOff>
    </xdr:from>
    <xdr:to>
      <xdr:col>15</xdr:col>
      <xdr:colOff>50800</xdr:colOff>
      <xdr:row>6</xdr:row>
      <xdr:rowOff>114300</xdr:rowOff>
    </xdr:to>
    <xdr:sp macro="" textlink="Pivot!F70">
      <xdr:nvSpPr>
        <xdr:cNvPr id="44" name="Rectangle 43">
          <a:extLst>
            <a:ext uri="{FF2B5EF4-FFF2-40B4-BE49-F238E27FC236}">
              <a16:creationId xmlns:a16="http://schemas.microsoft.com/office/drawing/2014/main" id="{B2660BD7-CBDD-8E2A-E0B8-264DC37B92E5}"/>
            </a:ext>
          </a:extLst>
        </xdr:cNvPr>
        <xdr:cNvSpPr/>
      </xdr:nvSpPr>
      <xdr:spPr>
        <a:xfrm>
          <a:off x="7683500" y="844550"/>
          <a:ext cx="1511300" cy="3746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C1447C7-725B-4C8C-8A03-8A92BB4347AE}" type="TxLink">
            <a:rPr lang="en-US" sz="1200" b="1" i="0" u="none" strike="noStrike">
              <a:solidFill>
                <a:srgbClr val="000000"/>
              </a:solidFill>
              <a:latin typeface="Aptos Narrow"/>
            </a:rPr>
            <a:pPr algn="ctr"/>
            <a:t>Capital Appreciation</a:t>
          </a:fld>
          <a:endParaRPr lang="en-US" sz="4400" b="1">
            <a:solidFill>
              <a:srgbClr val="0F172A"/>
            </a:solidFill>
          </a:endParaRPr>
        </a:p>
      </xdr:txBody>
    </xdr:sp>
    <xdr:clientData/>
  </xdr:twoCellAnchor>
  <xdr:twoCellAnchor editAs="oneCell">
    <xdr:from>
      <xdr:col>5</xdr:col>
      <xdr:colOff>114300</xdr:colOff>
      <xdr:row>3</xdr:row>
      <xdr:rowOff>101600</xdr:rowOff>
    </xdr:from>
    <xdr:to>
      <xdr:col>5</xdr:col>
      <xdr:colOff>315468</xdr:colOff>
      <xdr:row>4</xdr:row>
      <xdr:rowOff>118618</xdr:rowOff>
    </xdr:to>
    <xdr:pic>
      <xdr:nvPicPr>
        <xdr:cNvPr id="46" name="Graphic 45">
          <a:extLst>
            <a:ext uri="{FF2B5EF4-FFF2-40B4-BE49-F238E27FC236}">
              <a16:creationId xmlns:a16="http://schemas.microsoft.com/office/drawing/2014/main" id="{0F3A8FE2-2ADB-40DF-F3B3-D6F8B48A6D0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162300" y="654050"/>
          <a:ext cx="201168" cy="201168"/>
        </a:xfrm>
        <a:prstGeom prst="rect">
          <a:avLst/>
        </a:prstGeom>
      </xdr:spPr>
    </xdr:pic>
    <xdr:clientData/>
  </xdr:twoCellAnchor>
  <xdr:twoCellAnchor editAs="oneCell">
    <xdr:from>
      <xdr:col>8</xdr:col>
      <xdr:colOff>226483</xdr:colOff>
      <xdr:row>3</xdr:row>
      <xdr:rowOff>82550</xdr:rowOff>
    </xdr:from>
    <xdr:to>
      <xdr:col>8</xdr:col>
      <xdr:colOff>427651</xdr:colOff>
      <xdr:row>4</xdr:row>
      <xdr:rowOff>99568</xdr:rowOff>
    </xdr:to>
    <xdr:pic>
      <xdr:nvPicPr>
        <xdr:cNvPr id="48" name="Graphic 47">
          <a:extLst>
            <a:ext uri="{FF2B5EF4-FFF2-40B4-BE49-F238E27FC236}">
              <a16:creationId xmlns:a16="http://schemas.microsoft.com/office/drawing/2014/main" id="{0B0FF3C3-14B4-E633-264C-26F30A834651}"/>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5103283" y="635000"/>
          <a:ext cx="201168" cy="201168"/>
        </a:xfrm>
        <a:prstGeom prst="rect">
          <a:avLst/>
        </a:prstGeom>
      </xdr:spPr>
    </xdr:pic>
    <xdr:clientData/>
  </xdr:twoCellAnchor>
  <xdr:twoCellAnchor editAs="oneCell">
    <xdr:from>
      <xdr:col>11</xdr:col>
      <xdr:colOff>304800</xdr:colOff>
      <xdr:row>3</xdr:row>
      <xdr:rowOff>95250</xdr:rowOff>
    </xdr:from>
    <xdr:to>
      <xdr:col>11</xdr:col>
      <xdr:colOff>505968</xdr:colOff>
      <xdr:row>4</xdr:row>
      <xdr:rowOff>112268</xdr:rowOff>
    </xdr:to>
    <xdr:pic>
      <xdr:nvPicPr>
        <xdr:cNvPr id="50" name="Graphic 49">
          <a:extLst>
            <a:ext uri="{FF2B5EF4-FFF2-40B4-BE49-F238E27FC236}">
              <a16:creationId xmlns:a16="http://schemas.microsoft.com/office/drawing/2014/main" id="{C961620F-0938-1259-A85C-E7897D93FA8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7010400" y="647700"/>
          <a:ext cx="201168" cy="201168"/>
        </a:xfrm>
        <a:prstGeom prst="rect">
          <a:avLst/>
        </a:prstGeom>
      </xdr:spPr>
    </xdr:pic>
    <xdr:clientData/>
  </xdr:twoCellAnchor>
  <xdr:twoCellAnchor editAs="oneCell">
    <xdr:from>
      <xdr:col>14</xdr:col>
      <xdr:colOff>349250</xdr:colOff>
      <xdr:row>3</xdr:row>
      <xdr:rowOff>69850</xdr:rowOff>
    </xdr:from>
    <xdr:to>
      <xdr:col>14</xdr:col>
      <xdr:colOff>550418</xdr:colOff>
      <xdr:row>4</xdr:row>
      <xdr:rowOff>86868</xdr:rowOff>
    </xdr:to>
    <xdr:pic>
      <xdr:nvPicPr>
        <xdr:cNvPr id="52" name="Graphic 51">
          <a:extLst>
            <a:ext uri="{FF2B5EF4-FFF2-40B4-BE49-F238E27FC236}">
              <a16:creationId xmlns:a16="http://schemas.microsoft.com/office/drawing/2014/main" id="{02FF655B-8778-3A82-F4C8-01C0BA6C73C6}"/>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883650" y="622300"/>
          <a:ext cx="201168" cy="201168"/>
        </a:xfrm>
        <a:prstGeom prst="rect">
          <a:avLst/>
        </a:prstGeom>
      </xdr:spPr>
    </xdr:pic>
    <xdr:clientData/>
  </xdr:twoCellAnchor>
  <xdr:twoCellAnchor>
    <xdr:from>
      <xdr:col>0</xdr:col>
      <xdr:colOff>146050</xdr:colOff>
      <xdr:row>4</xdr:row>
      <xdr:rowOff>139700</xdr:rowOff>
    </xdr:from>
    <xdr:to>
      <xdr:col>2</xdr:col>
      <xdr:colOff>393700</xdr:colOff>
      <xdr:row>8</xdr:row>
      <xdr:rowOff>177800</xdr:rowOff>
    </xdr:to>
    <xdr:sp macro="" textlink="">
      <xdr:nvSpPr>
        <xdr:cNvPr id="53" name="Rectangle: Top Corners Rounded 52">
          <a:extLst>
            <a:ext uri="{FF2B5EF4-FFF2-40B4-BE49-F238E27FC236}">
              <a16:creationId xmlns:a16="http://schemas.microsoft.com/office/drawing/2014/main" id="{406005E4-EAEC-4DF6-BE4C-74F61CE19FC1}"/>
            </a:ext>
          </a:extLst>
        </xdr:cNvPr>
        <xdr:cNvSpPr/>
      </xdr:nvSpPr>
      <xdr:spPr>
        <a:xfrm>
          <a:off x="146050" y="876300"/>
          <a:ext cx="1466850" cy="774700"/>
        </a:xfrm>
        <a:prstGeom prst="round2SameRect">
          <a:avLst>
            <a:gd name="adj1" fmla="val 50000"/>
            <a:gd name="adj2" fmla="val 0"/>
          </a:avLst>
        </a:prstGeom>
        <a:solidFill>
          <a:srgbClr val="0F172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a:t>Slicers</a:t>
          </a:r>
        </a:p>
      </xdr:txBody>
    </xdr:sp>
    <xdr:clientData/>
  </xdr:twoCellAnchor>
  <xdr:twoCellAnchor editAs="oneCell">
    <xdr:from>
      <xdr:col>0</xdr:col>
      <xdr:colOff>158750</xdr:colOff>
      <xdr:row>9</xdr:row>
      <xdr:rowOff>57150</xdr:rowOff>
    </xdr:from>
    <xdr:to>
      <xdr:col>2</xdr:col>
      <xdr:colOff>342900</xdr:colOff>
      <xdr:row>13</xdr:row>
      <xdr:rowOff>23586</xdr:rowOff>
    </xdr:to>
    <mc:AlternateContent xmlns:mc="http://schemas.openxmlformats.org/markup-compatibility/2006">
      <mc:Choice xmlns:a14="http://schemas.microsoft.com/office/drawing/2010/main" Requires="a14">
        <xdr:graphicFrame macro="">
          <xdr:nvGraphicFramePr>
            <xdr:cNvPr id="55" name="gender">
              <a:extLst>
                <a:ext uri="{FF2B5EF4-FFF2-40B4-BE49-F238E27FC236}">
                  <a16:creationId xmlns:a16="http://schemas.microsoft.com/office/drawing/2014/main" id="{F465BB2B-B50B-4433-863B-BBE664A78ECF}"/>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dr:sp macro="" textlink="">
          <xdr:nvSpPr>
            <xdr:cNvPr id="0" name=""/>
            <xdr:cNvSpPr>
              <a:spLocks noTextEdit="1"/>
            </xdr:cNvSpPr>
          </xdr:nvSpPr>
          <xdr:spPr>
            <a:xfrm>
              <a:off x="158750" y="1714500"/>
              <a:ext cx="1403350" cy="7030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171450</xdr:colOff>
      <xdr:row>13</xdr:row>
      <xdr:rowOff>88900</xdr:rowOff>
    </xdr:from>
    <xdr:to>
      <xdr:col>2</xdr:col>
      <xdr:colOff>298450</xdr:colOff>
      <xdr:row>22</xdr:row>
      <xdr:rowOff>907</xdr:rowOff>
    </xdr:to>
    <mc:AlternateContent xmlns:mc="http://schemas.openxmlformats.org/markup-compatibility/2006">
      <mc:Choice xmlns:a14="http://schemas.microsoft.com/office/drawing/2010/main" Requires="a14">
        <xdr:graphicFrame macro="">
          <xdr:nvGraphicFramePr>
            <xdr:cNvPr id="56" name="Duration">
              <a:extLst>
                <a:ext uri="{FF2B5EF4-FFF2-40B4-BE49-F238E27FC236}">
                  <a16:creationId xmlns:a16="http://schemas.microsoft.com/office/drawing/2014/main" id="{2A3D1C38-C24A-4A75-8EB0-04F69919E7C1}"/>
                </a:ext>
              </a:extLst>
            </xdr:cNvPr>
            <xdr:cNvGraphicFramePr/>
          </xdr:nvGraphicFramePr>
          <xdr:xfrm>
            <a:off x="0" y="0"/>
            <a:ext cx="0" cy="0"/>
          </xdr:xfrm>
          <a:graphic>
            <a:graphicData uri="http://schemas.microsoft.com/office/drawing/2010/slicer">
              <sle:slicer xmlns:sle="http://schemas.microsoft.com/office/drawing/2010/slicer" name="Duration"/>
            </a:graphicData>
          </a:graphic>
        </xdr:graphicFrame>
      </mc:Choice>
      <mc:Fallback>
        <xdr:sp macro="" textlink="">
          <xdr:nvSpPr>
            <xdr:cNvPr id="0" name=""/>
            <xdr:cNvSpPr>
              <a:spLocks noTextEdit="1"/>
            </xdr:cNvSpPr>
          </xdr:nvSpPr>
          <xdr:spPr>
            <a:xfrm>
              <a:off x="171450" y="2482850"/>
              <a:ext cx="1346200" cy="15693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203200</xdr:colOff>
      <xdr:row>22</xdr:row>
      <xdr:rowOff>31750</xdr:rowOff>
    </xdr:from>
    <xdr:to>
      <xdr:col>2</xdr:col>
      <xdr:colOff>292100</xdr:colOff>
      <xdr:row>29</xdr:row>
      <xdr:rowOff>0</xdr:rowOff>
    </xdr:to>
    <mc:AlternateContent xmlns:mc="http://schemas.openxmlformats.org/markup-compatibility/2006">
      <mc:Choice xmlns:a14="http://schemas.microsoft.com/office/drawing/2010/main" Requires="a14">
        <xdr:graphicFrame macro="">
          <xdr:nvGraphicFramePr>
            <xdr:cNvPr id="57" name="Objective">
              <a:extLst>
                <a:ext uri="{FF2B5EF4-FFF2-40B4-BE49-F238E27FC236}">
                  <a16:creationId xmlns:a16="http://schemas.microsoft.com/office/drawing/2014/main" id="{7087B007-A253-49F8-B39B-B5384447F55A}"/>
                </a:ext>
              </a:extLst>
            </xdr:cNvPr>
            <xdr:cNvGraphicFramePr/>
          </xdr:nvGraphicFramePr>
          <xdr:xfrm>
            <a:off x="0" y="0"/>
            <a:ext cx="0" cy="0"/>
          </xdr:xfrm>
          <a:graphic>
            <a:graphicData uri="http://schemas.microsoft.com/office/drawing/2010/slicer">
              <sle:slicer xmlns:sle="http://schemas.microsoft.com/office/drawing/2010/slicer" name="Objective"/>
            </a:graphicData>
          </a:graphic>
        </xdr:graphicFrame>
      </mc:Choice>
      <mc:Fallback>
        <xdr:sp macro="" textlink="">
          <xdr:nvSpPr>
            <xdr:cNvPr id="0" name=""/>
            <xdr:cNvSpPr>
              <a:spLocks noTextEdit="1"/>
            </xdr:cNvSpPr>
          </xdr:nvSpPr>
          <xdr:spPr>
            <a:xfrm>
              <a:off x="203200" y="4083050"/>
              <a:ext cx="13081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15</xdr:col>
      <xdr:colOff>520700</xdr:colOff>
      <xdr:row>16</xdr:row>
      <xdr:rowOff>95250</xdr:rowOff>
    </xdr:from>
    <xdr:ext cx="1929631" cy="953466"/>
    <xdr:sp macro="" textlink="">
      <xdr:nvSpPr>
        <xdr:cNvPr id="58" name="TextBox 57">
          <a:extLst>
            <a:ext uri="{FF2B5EF4-FFF2-40B4-BE49-F238E27FC236}">
              <a16:creationId xmlns:a16="http://schemas.microsoft.com/office/drawing/2014/main" id="{9707D47C-096E-D2D0-F7B6-5B3CE311B9AE}"/>
            </a:ext>
          </a:extLst>
        </xdr:cNvPr>
        <xdr:cNvSpPr txBox="1"/>
      </xdr:nvSpPr>
      <xdr:spPr>
        <a:xfrm>
          <a:off x="9664700" y="3041650"/>
          <a:ext cx="1929631" cy="953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b="1"/>
            <a:t>Investment Survey Dashboard</a:t>
          </a:r>
          <a:br>
            <a:rPr lang="en-US" b="1"/>
          </a:br>
          <a:br>
            <a:rPr lang="en-US" b="1"/>
          </a:br>
          <a:r>
            <a:rPr lang="en-US" b="1"/>
            <a:t>Dataset Size: 40 Investors</a:t>
          </a:r>
          <a:br>
            <a:rPr lang="en-US" b="1"/>
          </a:br>
          <a:br>
            <a:rPr lang="en-US" b="1"/>
          </a:br>
          <a:r>
            <a:rPr lang="en-US" b="1"/>
            <a:t>Created by Syed Sami Ullah</a:t>
          </a:r>
          <a:endParaRPr lang="en-US" sz="1100" b="1"/>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MLS" refreshedDate="46204.614404629632" createdVersion="3" refreshedVersion="8" minRefreshableVersion="3" recordCount="40" xr:uid="{A7BAD93F-FE33-4545-95C0-7795C6ECAE5B}">
  <cacheSource type="worksheet">
    <worksheetSource ref="A1:X41" sheet="Finance_data"/>
  </cacheSource>
  <cacheFields count="24">
    <cacheField name="gender" numFmtId="0">
      <sharedItems count="2">
        <s v="Female"/>
        <s v="Male"/>
      </sharedItems>
    </cacheField>
    <cacheField name="age" numFmtId="0">
      <sharedItems containsSemiMixedTypes="0" containsString="0" containsNumber="1" containsInteger="1" minValue="21" maxValue="35" count="14">
        <n v="34"/>
        <n v="23"/>
        <n v="30"/>
        <n v="22"/>
        <n v="24"/>
        <n v="27"/>
        <n v="21"/>
        <n v="35"/>
        <n v="31"/>
        <n v="29"/>
        <n v="28"/>
        <n v="25"/>
        <n v="26"/>
        <n v="32"/>
      </sharedItems>
    </cacheField>
    <cacheField name="Investment_Avenues" numFmtId="0">
      <sharedItems/>
    </cacheField>
    <cacheField name="Mutual_Funds" numFmtId="0">
      <sharedItems containsSemiMixedTypes="0" containsString="0" containsNumber="1" containsInteger="1" minValue="1" maxValue="7"/>
    </cacheField>
    <cacheField name="Equity_Market" numFmtId="0">
      <sharedItems containsSemiMixedTypes="0" containsString="0" containsNumber="1" containsInteger="1" minValue="1" maxValue="6"/>
    </cacheField>
    <cacheField name="Debentures" numFmtId="0">
      <sharedItems containsSemiMixedTypes="0" containsString="0" containsNumber="1" containsInteger="1" minValue="1" maxValue="7"/>
    </cacheField>
    <cacheField name="Government_Bonds" numFmtId="0">
      <sharedItems containsSemiMixedTypes="0" containsString="0" containsNumber="1" containsInteger="1" minValue="1" maxValue="7"/>
    </cacheField>
    <cacheField name="Fixed_Deposits" numFmtId="0">
      <sharedItems containsSemiMixedTypes="0" containsString="0" containsNumber="1" containsInteger="1" minValue="1" maxValue="7"/>
    </cacheField>
    <cacheField name="PPF" numFmtId="0">
      <sharedItems containsSemiMixedTypes="0" containsString="0" containsNumber="1" containsInteger="1" minValue="1" maxValue="6"/>
    </cacheField>
    <cacheField name="Gold" numFmtId="0">
      <sharedItems containsSemiMixedTypes="0" containsString="0" containsNumber="1" containsInteger="1" minValue="2" maxValue="7"/>
    </cacheField>
    <cacheField name="Stock_Marktet" numFmtId="0">
      <sharedItems/>
    </cacheField>
    <cacheField name="Factor" numFmtId="0">
      <sharedItems count="3">
        <s v="Returns"/>
        <s v="Locking Period"/>
        <s v="Risk"/>
      </sharedItems>
    </cacheField>
    <cacheField name="Objective" numFmtId="0">
      <sharedItems count="3">
        <s v="Capital Appreciation"/>
        <s v="Income"/>
        <s v="Growth"/>
      </sharedItems>
    </cacheField>
    <cacheField name="Purpose" numFmtId="0">
      <sharedItems/>
    </cacheField>
    <cacheField name="Duration" numFmtId="0">
      <sharedItems count="4">
        <s v="1-3 years"/>
        <s v="More than 5 years"/>
        <s v="3-5 years"/>
        <s v="Less than 1 year"/>
      </sharedItems>
    </cacheField>
    <cacheField name="Invest_Monitor" numFmtId="0">
      <sharedItems count="3">
        <s v="Monthly"/>
        <s v="Weekly"/>
        <s v="Daily"/>
      </sharedItems>
    </cacheField>
    <cacheField name="Expect" numFmtId="0">
      <sharedItems count="3">
        <s v="20%-30%"/>
        <s v="10%-20%"/>
        <s v="30%-40%"/>
      </sharedItems>
    </cacheField>
    <cacheField name="Avenue" numFmtId="0">
      <sharedItems count="4">
        <s v="Mutual Fund"/>
        <s v="Equity"/>
        <s v="Fixed Deposits"/>
        <s v="Public Provident Fund"/>
      </sharedItems>
    </cacheField>
    <cacheField name="What are your savings objectives?" numFmtId="0">
      <sharedItems count="3">
        <s v="Retirement Plan"/>
        <s v="Health Care"/>
        <s v="Education"/>
      </sharedItems>
    </cacheField>
    <cacheField name="Reason_Equity" numFmtId="0">
      <sharedItems/>
    </cacheField>
    <cacheField name="Reason_Mutual" numFmtId="0">
      <sharedItems/>
    </cacheField>
    <cacheField name="Reason_Bonds" numFmtId="0">
      <sharedItems/>
    </cacheField>
    <cacheField name="Reason_FD" numFmtId="0">
      <sharedItems/>
    </cacheField>
    <cacheField name="Source" numFmtId="0">
      <sharedItems/>
    </cacheField>
  </cacheFields>
  <extLst>
    <ext xmlns:x14="http://schemas.microsoft.com/office/spreadsheetml/2009/9/main" uri="{725AE2AE-9491-48be-B2B4-4EB974FC3084}">
      <x14:pivotCacheDefinition pivotCacheId="1523277240"/>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MLS" refreshedDate="46204.654425347224" createdVersion="8" refreshedVersion="8" minRefreshableVersion="3" recordCount="40" xr:uid="{C981886F-E600-4A40-8AA3-F16F2B04D389}">
  <cacheSource type="worksheet">
    <worksheetSource name="Finance_data"/>
  </cacheSource>
  <cacheFields count="24">
    <cacheField name="gender" numFmtId="0">
      <sharedItems count="2">
        <s v="Female"/>
        <s v="Male"/>
      </sharedItems>
    </cacheField>
    <cacheField name="age" numFmtId="0">
      <sharedItems containsSemiMixedTypes="0" containsString="0" containsNumber="1" containsInteger="1" minValue="21" maxValue="35"/>
    </cacheField>
    <cacheField name="Investment_Avenues" numFmtId="0">
      <sharedItems count="2">
        <s v="Yes"/>
        <s v="No"/>
      </sharedItems>
    </cacheField>
    <cacheField name="Mutual_Funds" numFmtId="0">
      <sharedItems containsSemiMixedTypes="0" containsString="0" containsNumber="1" containsInteger="1" minValue="1" maxValue="7"/>
    </cacheField>
    <cacheField name="Equity_Market" numFmtId="0">
      <sharedItems containsSemiMixedTypes="0" containsString="0" containsNumber="1" containsInteger="1" minValue="1" maxValue="6"/>
    </cacheField>
    <cacheField name="Debentures" numFmtId="0">
      <sharedItems containsSemiMixedTypes="0" containsString="0" containsNumber="1" containsInteger="1" minValue="1" maxValue="7"/>
    </cacheField>
    <cacheField name="Government_Bonds" numFmtId="0">
      <sharedItems containsSemiMixedTypes="0" containsString="0" containsNumber="1" containsInteger="1" minValue="1" maxValue="7"/>
    </cacheField>
    <cacheField name="Fixed_Deposits" numFmtId="0">
      <sharedItems containsSemiMixedTypes="0" containsString="0" containsNumber="1" containsInteger="1" minValue="1" maxValue="7"/>
    </cacheField>
    <cacheField name="PPF" numFmtId="0">
      <sharedItems containsSemiMixedTypes="0" containsString="0" containsNumber="1" containsInteger="1" minValue="1" maxValue="6"/>
    </cacheField>
    <cacheField name="Gold" numFmtId="0">
      <sharedItems containsSemiMixedTypes="0" containsString="0" containsNumber="1" containsInteger="1" minValue="2" maxValue="7" count="6">
        <n v="4"/>
        <n v="7"/>
        <n v="5"/>
        <n v="2"/>
        <n v="6"/>
        <n v="3"/>
      </sharedItems>
    </cacheField>
    <cacheField name="Stock_Marktet" numFmtId="0">
      <sharedItems/>
    </cacheField>
    <cacheField name="Factor" numFmtId="0">
      <sharedItems/>
    </cacheField>
    <cacheField name="Objective" numFmtId="0">
      <sharedItems count="3">
        <s v="Capital Appreciation"/>
        <s v="Income"/>
        <s v="Growth"/>
      </sharedItems>
    </cacheField>
    <cacheField name="Purpose" numFmtId="0">
      <sharedItems count="3">
        <s v="Wealth Creation"/>
        <s v="Savings for Future"/>
        <s v="Returns"/>
      </sharedItems>
    </cacheField>
    <cacheField name="Duration" numFmtId="0">
      <sharedItems/>
    </cacheField>
    <cacheField name="Invest_Monitor" numFmtId="0">
      <sharedItems/>
    </cacheField>
    <cacheField name="Expect" numFmtId="0">
      <sharedItems/>
    </cacheField>
    <cacheField name="Avenue" numFmtId="0">
      <sharedItems/>
    </cacheField>
    <cacheField name="What are your savings objectives?" numFmtId="0">
      <sharedItems count="3">
        <s v="Retirement Plan"/>
        <s v="Health Care"/>
        <s v="Education"/>
      </sharedItems>
    </cacheField>
    <cacheField name="Reason_Equity" numFmtId="0">
      <sharedItems count="3">
        <s v="Capital Appreciation"/>
        <s v="Dividend"/>
        <s v="Liquidity"/>
      </sharedItems>
    </cacheField>
    <cacheField name="Reason_Mutual" numFmtId="0">
      <sharedItems count="3">
        <s v="Better Returns"/>
        <s v="Tax Benefits"/>
        <s v="Fund Diversification"/>
      </sharedItems>
    </cacheField>
    <cacheField name="Reason_Bonds" numFmtId="0">
      <sharedItems/>
    </cacheField>
    <cacheField name="Reason_FD" numFmtId="0">
      <sharedItems/>
    </cacheField>
    <cacheField name="Source"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
  <r>
    <x v="0"/>
    <x v="0"/>
    <s v="Yes"/>
    <n v="1"/>
    <n v="2"/>
    <n v="5"/>
    <n v="3"/>
    <n v="7"/>
    <n v="6"/>
    <n v="4"/>
    <s v="Yes"/>
    <x v="0"/>
    <x v="0"/>
    <s v="Wealth Creation"/>
    <x v="0"/>
    <x v="0"/>
    <x v="0"/>
    <x v="0"/>
    <x v="0"/>
    <s v="Capital Appreciation"/>
    <s v="Better Returns"/>
    <s v="Safe Investment"/>
    <s v="Fixed Returns"/>
    <s v="Newspapers and Magazines"/>
  </r>
  <r>
    <x v="0"/>
    <x v="1"/>
    <s v="Yes"/>
    <n v="4"/>
    <n v="3"/>
    <n v="2"/>
    <n v="1"/>
    <n v="5"/>
    <n v="6"/>
    <n v="7"/>
    <s v="No"/>
    <x v="1"/>
    <x v="0"/>
    <s v="Wealth Creation"/>
    <x v="1"/>
    <x v="1"/>
    <x v="0"/>
    <x v="0"/>
    <x v="1"/>
    <s v="Dividend"/>
    <s v="Better Returns"/>
    <s v="Safe Investment"/>
    <s v="High Interest Rates"/>
    <s v="Financial Consultants"/>
  </r>
  <r>
    <x v="1"/>
    <x v="2"/>
    <s v="Yes"/>
    <n v="3"/>
    <n v="6"/>
    <n v="4"/>
    <n v="2"/>
    <n v="5"/>
    <n v="1"/>
    <n v="7"/>
    <s v="Yes"/>
    <x v="0"/>
    <x v="0"/>
    <s v="Wealth Creation"/>
    <x v="2"/>
    <x v="2"/>
    <x v="0"/>
    <x v="1"/>
    <x v="0"/>
    <s v="Capital Appreciation"/>
    <s v="Tax Benefits"/>
    <s v="Assured Returns"/>
    <s v="Fixed Returns"/>
    <s v="Television"/>
  </r>
  <r>
    <x v="1"/>
    <x v="3"/>
    <s v="Yes"/>
    <n v="2"/>
    <n v="1"/>
    <n v="3"/>
    <n v="7"/>
    <n v="6"/>
    <n v="4"/>
    <n v="5"/>
    <s v="Yes"/>
    <x v="0"/>
    <x v="1"/>
    <s v="Wealth Creation"/>
    <x v="3"/>
    <x v="2"/>
    <x v="1"/>
    <x v="1"/>
    <x v="0"/>
    <s v="Dividend"/>
    <s v="Fund Diversification"/>
    <s v="Tax Incentives"/>
    <s v="High Interest Rates"/>
    <s v="Internet"/>
  </r>
  <r>
    <x v="0"/>
    <x v="4"/>
    <s v="No"/>
    <n v="2"/>
    <n v="1"/>
    <n v="3"/>
    <n v="6"/>
    <n v="4"/>
    <n v="5"/>
    <n v="7"/>
    <s v="No"/>
    <x v="0"/>
    <x v="1"/>
    <s v="Wealth Creation"/>
    <x v="3"/>
    <x v="2"/>
    <x v="0"/>
    <x v="1"/>
    <x v="0"/>
    <s v="Capital Appreciation"/>
    <s v="Better Returns"/>
    <s v="Safe Investment"/>
    <s v="Risk Free"/>
    <s v="Internet"/>
  </r>
  <r>
    <x v="0"/>
    <x v="4"/>
    <s v="No"/>
    <n v="7"/>
    <n v="5"/>
    <n v="4"/>
    <n v="6"/>
    <n v="3"/>
    <n v="1"/>
    <n v="2"/>
    <s v="No"/>
    <x v="2"/>
    <x v="0"/>
    <s v="Wealth Creation"/>
    <x v="0"/>
    <x v="2"/>
    <x v="2"/>
    <x v="0"/>
    <x v="0"/>
    <s v="Liquidity"/>
    <s v="Fund Diversification"/>
    <s v="Safe Investment"/>
    <s v="Risk Free"/>
    <s v="Internet"/>
  </r>
  <r>
    <x v="0"/>
    <x v="5"/>
    <s v="Yes"/>
    <n v="3"/>
    <n v="6"/>
    <n v="4"/>
    <n v="2"/>
    <n v="5"/>
    <n v="1"/>
    <n v="7"/>
    <s v="Yes"/>
    <x v="0"/>
    <x v="0"/>
    <s v="Wealth Creation"/>
    <x v="2"/>
    <x v="0"/>
    <x v="0"/>
    <x v="1"/>
    <x v="0"/>
    <s v="Capital Appreciation"/>
    <s v="Better Returns"/>
    <s v="Assured Returns"/>
    <s v="High Interest Rates"/>
    <s v="Financial Consultants"/>
  </r>
  <r>
    <x v="1"/>
    <x v="6"/>
    <s v="Yes"/>
    <n v="2"/>
    <n v="3"/>
    <n v="7"/>
    <n v="4"/>
    <n v="6"/>
    <n v="1"/>
    <n v="5"/>
    <s v="Yes"/>
    <x v="2"/>
    <x v="0"/>
    <s v="Wealth Creation"/>
    <x v="2"/>
    <x v="0"/>
    <x v="0"/>
    <x v="0"/>
    <x v="0"/>
    <s v="Capital Appreciation"/>
    <s v="Better Returns"/>
    <s v="Assured Returns"/>
    <s v="Risk Free"/>
    <s v="Newspapers and Magazines"/>
  </r>
  <r>
    <x v="1"/>
    <x v="7"/>
    <s v="Yes"/>
    <n v="2"/>
    <n v="4"/>
    <n v="7"/>
    <n v="5"/>
    <n v="3"/>
    <n v="1"/>
    <n v="6"/>
    <s v="Yes"/>
    <x v="0"/>
    <x v="2"/>
    <s v="Savings for Future"/>
    <x v="0"/>
    <x v="1"/>
    <x v="0"/>
    <x v="1"/>
    <x v="0"/>
    <s v="Capital Appreciation"/>
    <s v="Fund Diversification"/>
    <s v="Safe Investment"/>
    <s v="Fixed Returns"/>
    <s v="Television"/>
  </r>
  <r>
    <x v="1"/>
    <x v="8"/>
    <s v="Yes"/>
    <n v="1"/>
    <n v="3"/>
    <n v="7"/>
    <n v="4"/>
    <n v="5"/>
    <n v="2"/>
    <n v="6"/>
    <s v="Yes"/>
    <x v="0"/>
    <x v="0"/>
    <s v="Wealth Creation"/>
    <x v="2"/>
    <x v="0"/>
    <x v="2"/>
    <x v="2"/>
    <x v="0"/>
    <s v="Capital Appreciation"/>
    <s v="Fund Diversification"/>
    <s v="Assured Returns"/>
    <s v="Fixed Returns"/>
    <s v="Newspapers and Magazines"/>
  </r>
  <r>
    <x v="0"/>
    <x v="7"/>
    <s v="Yes"/>
    <n v="2"/>
    <n v="4"/>
    <n v="7"/>
    <n v="5"/>
    <n v="3"/>
    <n v="1"/>
    <n v="6"/>
    <s v="Yes"/>
    <x v="2"/>
    <x v="2"/>
    <s v="Savings for Future"/>
    <x v="2"/>
    <x v="0"/>
    <x v="0"/>
    <x v="0"/>
    <x v="0"/>
    <s v="Capital Appreciation"/>
    <s v="Better Returns"/>
    <s v="Assured Returns"/>
    <s v="Risk Free"/>
    <s v="Financial Consultants"/>
  </r>
  <r>
    <x v="1"/>
    <x v="9"/>
    <s v="Yes"/>
    <n v="2"/>
    <n v="5"/>
    <n v="7"/>
    <n v="6"/>
    <n v="3"/>
    <n v="1"/>
    <n v="4"/>
    <s v="Yes"/>
    <x v="2"/>
    <x v="0"/>
    <s v="Wealth Creation"/>
    <x v="0"/>
    <x v="0"/>
    <x v="0"/>
    <x v="0"/>
    <x v="0"/>
    <s v="Capital Appreciation"/>
    <s v="Fund Diversification"/>
    <s v="Assured Returns"/>
    <s v="Fixed Returns"/>
    <s v="Financial Consultants"/>
  </r>
  <r>
    <x v="0"/>
    <x v="6"/>
    <s v="No"/>
    <n v="1"/>
    <n v="2"/>
    <n v="3"/>
    <n v="4"/>
    <n v="5"/>
    <n v="6"/>
    <n v="7"/>
    <s v="No"/>
    <x v="0"/>
    <x v="0"/>
    <s v="Savings for Future"/>
    <x v="0"/>
    <x v="1"/>
    <x v="0"/>
    <x v="0"/>
    <x v="2"/>
    <s v="Dividend"/>
    <s v="Better Returns"/>
    <s v="Safe Investment"/>
    <s v="Risk Free"/>
    <s v="Internet"/>
  </r>
  <r>
    <x v="0"/>
    <x v="10"/>
    <s v="Yes"/>
    <n v="2"/>
    <n v="3"/>
    <n v="7"/>
    <n v="4"/>
    <n v="5"/>
    <n v="1"/>
    <n v="6"/>
    <s v="Yes"/>
    <x v="0"/>
    <x v="0"/>
    <s v="Wealth Creation"/>
    <x v="0"/>
    <x v="0"/>
    <x v="0"/>
    <x v="0"/>
    <x v="0"/>
    <s v="Capital Appreciation"/>
    <s v="Fund Diversification"/>
    <s v="Assured Returns"/>
    <s v="Risk Free"/>
    <s v="Newspapers and Magazines"/>
  </r>
  <r>
    <x v="0"/>
    <x v="11"/>
    <s v="Yes"/>
    <n v="2"/>
    <n v="3"/>
    <n v="7"/>
    <n v="5"/>
    <n v="4"/>
    <n v="1"/>
    <n v="6"/>
    <s v="Yes"/>
    <x v="0"/>
    <x v="0"/>
    <s v="Wealth Creation"/>
    <x v="0"/>
    <x v="0"/>
    <x v="0"/>
    <x v="2"/>
    <x v="1"/>
    <s v="Dividend"/>
    <s v="Better Returns"/>
    <s v="Assured Returns"/>
    <s v="Risk Free"/>
    <s v="Financial Consultants"/>
  </r>
  <r>
    <x v="1"/>
    <x v="5"/>
    <s v="Yes"/>
    <n v="2"/>
    <n v="3"/>
    <n v="7"/>
    <n v="5"/>
    <n v="4"/>
    <n v="1"/>
    <n v="6"/>
    <s v="Yes"/>
    <x v="0"/>
    <x v="0"/>
    <s v="Wealth Creation"/>
    <x v="0"/>
    <x v="0"/>
    <x v="0"/>
    <x v="0"/>
    <x v="1"/>
    <s v="Capital Appreciation"/>
    <s v="Fund Diversification"/>
    <s v="Assured Returns"/>
    <s v="Risk Free"/>
    <s v="Newspapers and Magazines"/>
  </r>
  <r>
    <x v="0"/>
    <x v="10"/>
    <s v="Yes"/>
    <n v="3"/>
    <n v="2"/>
    <n v="7"/>
    <n v="5"/>
    <n v="4"/>
    <n v="1"/>
    <n v="6"/>
    <s v="Yes"/>
    <x v="2"/>
    <x v="2"/>
    <s v="Wealth Creation"/>
    <x v="0"/>
    <x v="0"/>
    <x v="0"/>
    <x v="2"/>
    <x v="1"/>
    <s v="Capital Appreciation"/>
    <s v="Fund Diversification"/>
    <s v="Assured Returns"/>
    <s v="Risk Free"/>
    <s v="Television"/>
  </r>
  <r>
    <x v="1"/>
    <x v="5"/>
    <s v="Yes"/>
    <n v="3"/>
    <n v="2"/>
    <n v="7"/>
    <n v="4"/>
    <n v="5"/>
    <n v="1"/>
    <n v="6"/>
    <s v="Yes"/>
    <x v="0"/>
    <x v="0"/>
    <s v="Wealth Creation"/>
    <x v="0"/>
    <x v="0"/>
    <x v="0"/>
    <x v="0"/>
    <x v="0"/>
    <s v="Capital Appreciation"/>
    <s v="Better Returns"/>
    <s v="Assured Returns"/>
    <s v="Risk Free"/>
    <s v="Financial Consultants"/>
  </r>
  <r>
    <x v="1"/>
    <x v="9"/>
    <s v="Yes"/>
    <n v="3"/>
    <n v="2"/>
    <n v="7"/>
    <n v="4"/>
    <n v="5"/>
    <n v="1"/>
    <n v="6"/>
    <s v="Yes"/>
    <x v="2"/>
    <x v="0"/>
    <s v="Wealth Creation"/>
    <x v="0"/>
    <x v="0"/>
    <x v="0"/>
    <x v="0"/>
    <x v="0"/>
    <s v="Capital Appreciation"/>
    <s v="Better Returns"/>
    <s v="Assured Returns"/>
    <s v="Risk Free"/>
    <s v="Newspapers and Magazines"/>
  </r>
  <r>
    <x v="1"/>
    <x v="12"/>
    <s v="Yes"/>
    <n v="3"/>
    <n v="4"/>
    <n v="6"/>
    <n v="5"/>
    <n v="1"/>
    <n v="2"/>
    <n v="7"/>
    <s v="Yes"/>
    <x v="2"/>
    <x v="0"/>
    <s v="Wealth Creation"/>
    <x v="2"/>
    <x v="0"/>
    <x v="0"/>
    <x v="2"/>
    <x v="1"/>
    <s v="Capital Appreciation"/>
    <s v="Fund Diversification"/>
    <s v="Assured Returns"/>
    <s v="Risk Free"/>
    <s v="Newspapers and Magazines"/>
  </r>
  <r>
    <x v="1"/>
    <x v="9"/>
    <s v="Yes"/>
    <n v="2"/>
    <n v="4"/>
    <n v="7"/>
    <n v="5"/>
    <n v="3"/>
    <n v="1"/>
    <n v="6"/>
    <s v="Yes"/>
    <x v="0"/>
    <x v="2"/>
    <s v="Wealth Creation"/>
    <x v="2"/>
    <x v="1"/>
    <x v="0"/>
    <x v="0"/>
    <x v="0"/>
    <s v="Capital Appreciation"/>
    <s v="Better Returns"/>
    <s v="Assured Returns"/>
    <s v="Fixed Returns"/>
    <s v="Financial Consultants"/>
  </r>
  <r>
    <x v="0"/>
    <x v="4"/>
    <s v="Yes"/>
    <n v="2"/>
    <n v="4"/>
    <n v="5"/>
    <n v="6"/>
    <n v="3"/>
    <n v="1"/>
    <n v="7"/>
    <s v="Yes"/>
    <x v="2"/>
    <x v="0"/>
    <s v="Wealth Creation"/>
    <x v="2"/>
    <x v="0"/>
    <x v="0"/>
    <x v="1"/>
    <x v="1"/>
    <s v="Capital Appreciation"/>
    <s v="Better Returns"/>
    <s v="Assured Returns"/>
    <s v="Risk Free"/>
    <s v="Newspapers and Magazines"/>
  </r>
  <r>
    <x v="1"/>
    <x v="5"/>
    <s v="Yes"/>
    <n v="3"/>
    <n v="4"/>
    <n v="6"/>
    <n v="5"/>
    <n v="2"/>
    <n v="1"/>
    <n v="7"/>
    <s v="Yes"/>
    <x v="0"/>
    <x v="0"/>
    <s v="Wealth Creation"/>
    <x v="2"/>
    <x v="0"/>
    <x v="0"/>
    <x v="0"/>
    <x v="0"/>
    <s v="Capital Appreciation"/>
    <s v="Better Returns"/>
    <s v="Assured Returns"/>
    <s v="Risk Free"/>
    <s v="Financial Consultants"/>
  </r>
  <r>
    <x v="1"/>
    <x v="11"/>
    <s v="Yes"/>
    <n v="2"/>
    <n v="4"/>
    <n v="6"/>
    <n v="5"/>
    <n v="3"/>
    <n v="1"/>
    <n v="7"/>
    <s v="Yes"/>
    <x v="2"/>
    <x v="2"/>
    <s v="Savings for Future"/>
    <x v="2"/>
    <x v="1"/>
    <x v="0"/>
    <x v="3"/>
    <x v="1"/>
    <s v="Liquidity"/>
    <s v="Better Returns"/>
    <s v="Assured Returns"/>
    <s v="Risk Free"/>
    <s v="Financial Consultants"/>
  </r>
  <r>
    <x v="0"/>
    <x v="12"/>
    <s v="Yes"/>
    <n v="2"/>
    <n v="3"/>
    <n v="7"/>
    <n v="5"/>
    <n v="4"/>
    <n v="1"/>
    <n v="6"/>
    <s v="Yes"/>
    <x v="0"/>
    <x v="0"/>
    <s v="Wealth Creation"/>
    <x v="2"/>
    <x v="0"/>
    <x v="2"/>
    <x v="3"/>
    <x v="0"/>
    <s v="Capital Appreciation"/>
    <s v="Better Returns"/>
    <s v="Assured Returns"/>
    <s v="Risk Free"/>
    <s v="Newspapers and Magazines"/>
  </r>
  <r>
    <x v="0"/>
    <x v="13"/>
    <s v="Yes"/>
    <n v="3"/>
    <n v="4"/>
    <n v="7"/>
    <n v="5"/>
    <n v="1"/>
    <n v="2"/>
    <n v="6"/>
    <s v="Yes"/>
    <x v="2"/>
    <x v="2"/>
    <s v="Wealth Creation"/>
    <x v="2"/>
    <x v="0"/>
    <x v="0"/>
    <x v="0"/>
    <x v="0"/>
    <s v="Capital Appreciation"/>
    <s v="Better Returns"/>
    <s v="Assured Returns"/>
    <s v="Fixed Returns"/>
    <s v="Financial Consultants"/>
  </r>
  <r>
    <x v="1"/>
    <x v="12"/>
    <s v="Yes"/>
    <n v="3"/>
    <n v="4"/>
    <n v="6"/>
    <n v="5"/>
    <n v="1"/>
    <n v="2"/>
    <n v="7"/>
    <s v="Yes"/>
    <x v="0"/>
    <x v="0"/>
    <s v="Wealth Creation"/>
    <x v="2"/>
    <x v="0"/>
    <x v="0"/>
    <x v="0"/>
    <x v="0"/>
    <s v="Dividend"/>
    <s v="Fund Diversification"/>
    <s v="Assured Returns"/>
    <s v="Fixed Returns"/>
    <s v="Financial Consultants"/>
  </r>
  <r>
    <x v="1"/>
    <x v="8"/>
    <s v="Yes"/>
    <n v="2"/>
    <n v="3"/>
    <n v="7"/>
    <n v="6"/>
    <n v="4"/>
    <n v="1"/>
    <n v="5"/>
    <s v="Yes"/>
    <x v="2"/>
    <x v="2"/>
    <s v="Savings for Future"/>
    <x v="0"/>
    <x v="0"/>
    <x v="0"/>
    <x v="2"/>
    <x v="1"/>
    <s v="Capital Appreciation"/>
    <s v="Fund Diversification"/>
    <s v="Safe Investment"/>
    <s v="Fixed Returns"/>
    <s v="Television"/>
  </r>
  <r>
    <x v="1"/>
    <x v="9"/>
    <s v="Yes"/>
    <n v="2"/>
    <n v="3"/>
    <n v="6"/>
    <n v="5"/>
    <n v="1"/>
    <n v="4"/>
    <n v="7"/>
    <s v="Yes"/>
    <x v="0"/>
    <x v="0"/>
    <s v="Wealth Creation"/>
    <x v="0"/>
    <x v="0"/>
    <x v="0"/>
    <x v="1"/>
    <x v="0"/>
    <s v="Capital Appreciation"/>
    <s v="Better Returns"/>
    <s v="Assured Returns"/>
    <s v="Risk Free"/>
    <s v="Television"/>
  </r>
  <r>
    <x v="0"/>
    <x v="0"/>
    <s v="Yes"/>
    <n v="5"/>
    <n v="4"/>
    <n v="3"/>
    <n v="2"/>
    <n v="7"/>
    <n v="1"/>
    <n v="6"/>
    <s v="Yes"/>
    <x v="0"/>
    <x v="1"/>
    <s v="Returns"/>
    <x v="2"/>
    <x v="0"/>
    <x v="1"/>
    <x v="0"/>
    <x v="0"/>
    <s v="Capital Appreciation"/>
    <s v="Tax Benefits"/>
    <s v="Safe Investment"/>
    <s v="Fixed Returns"/>
    <s v="Newspapers and Magazines"/>
  </r>
  <r>
    <x v="1"/>
    <x v="5"/>
    <s v="Yes"/>
    <n v="4"/>
    <n v="5"/>
    <n v="1"/>
    <n v="2"/>
    <n v="7"/>
    <n v="3"/>
    <n v="6"/>
    <s v="No"/>
    <x v="0"/>
    <x v="2"/>
    <s v="Wealth Creation"/>
    <x v="0"/>
    <x v="0"/>
    <x v="1"/>
    <x v="0"/>
    <x v="2"/>
    <s v="Capital Appreciation"/>
    <s v="Tax Benefits"/>
    <s v="Safe Investment"/>
    <s v="Fixed Returns"/>
    <s v="Television"/>
  </r>
  <r>
    <x v="0"/>
    <x v="8"/>
    <s v="Yes"/>
    <n v="2"/>
    <n v="4"/>
    <n v="7"/>
    <n v="6"/>
    <n v="3"/>
    <n v="1"/>
    <n v="5"/>
    <s v="Yes"/>
    <x v="0"/>
    <x v="0"/>
    <s v="Wealth Creation"/>
    <x v="2"/>
    <x v="0"/>
    <x v="0"/>
    <x v="2"/>
    <x v="0"/>
    <s v="Capital Appreciation"/>
    <s v="Better Returns"/>
    <s v="Assured Returns"/>
    <s v="Fixed Returns"/>
    <s v="Financial Consultants"/>
  </r>
  <r>
    <x v="1"/>
    <x v="5"/>
    <s v="Yes"/>
    <n v="2"/>
    <n v="4"/>
    <n v="7"/>
    <n v="5"/>
    <n v="1"/>
    <n v="3"/>
    <n v="6"/>
    <s v="Yes"/>
    <x v="0"/>
    <x v="0"/>
    <s v="Wealth Creation"/>
    <x v="2"/>
    <x v="0"/>
    <x v="2"/>
    <x v="1"/>
    <x v="1"/>
    <s v="Capital Appreciation"/>
    <s v="Fund Diversification"/>
    <s v="Assured Returns"/>
    <s v="Fixed Returns"/>
    <s v="Newspapers and Magazines"/>
  </r>
  <r>
    <x v="1"/>
    <x v="12"/>
    <s v="Yes"/>
    <n v="2"/>
    <n v="3"/>
    <n v="6"/>
    <n v="4"/>
    <n v="1"/>
    <n v="5"/>
    <n v="7"/>
    <s v="Yes"/>
    <x v="0"/>
    <x v="0"/>
    <s v="Returns"/>
    <x v="0"/>
    <x v="0"/>
    <x v="0"/>
    <x v="2"/>
    <x v="2"/>
    <s v="Dividend"/>
    <s v="Better Returns"/>
    <s v="Safe Investment"/>
    <s v="Risk Free"/>
    <s v="Newspapers and Magazines"/>
  </r>
  <r>
    <x v="1"/>
    <x v="5"/>
    <s v="Yes"/>
    <n v="2"/>
    <n v="3"/>
    <n v="6"/>
    <n v="5"/>
    <n v="4"/>
    <n v="1"/>
    <n v="7"/>
    <s v="Yes"/>
    <x v="0"/>
    <x v="0"/>
    <s v="Wealth Creation"/>
    <x v="0"/>
    <x v="1"/>
    <x v="0"/>
    <x v="0"/>
    <x v="1"/>
    <s v="Capital Appreciation"/>
    <s v="Better Returns"/>
    <s v="Safe Investment"/>
    <s v="Fixed Returns"/>
    <s v="Financial Consultants"/>
  </r>
  <r>
    <x v="1"/>
    <x v="2"/>
    <s v="Yes"/>
    <n v="1"/>
    <n v="4"/>
    <n v="6"/>
    <n v="5"/>
    <n v="3"/>
    <n v="2"/>
    <n v="7"/>
    <s v="Yes"/>
    <x v="2"/>
    <x v="2"/>
    <s v="Wealth Creation"/>
    <x v="2"/>
    <x v="0"/>
    <x v="0"/>
    <x v="2"/>
    <x v="1"/>
    <s v="Capital Appreciation"/>
    <s v="Better Returns"/>
    <s v="Assured Returns"/>
    <s v="Fixed Returns"/>
    <s v="Financial Consultants"/>
  </r>
  <r>
    <x v="1"/>
    <x v="2"/>
    <s v="Yes"/>
    <n v="2"/>
    <n v="4"/>
    <n v="7"/>
    <n v="5"/>
    <n v="1"/>
    <n v="3"/>
    <n v="6"/>
    <s v="Yes"/>
    <x v="0"/>
    <x v="0"/>
    <s v="Wealth Creation"/>
    <x v="0"/>
    <x v="0"/>
    <x v="0"/>
    <x v="1"/>
    <x v="0"/>
    <s v="Capital Appreciation"/>
    <s v="Better Returns"/>
    <s v="Assured Returns"/>
    <s v="Risk Free"/>
    <s v="Newspapers and Magazines"/>
  </r>
  <r>
    <x v="1"/>
    <x v="11"/>
    <s v="Yes"/>
    <n v="5"/>
    <n v="4"/>
    <n v="7"/>
    <n v="6"/>
    <n v="1"/>
    <n v="2"/>
    <n v="3"/>
    <s v="Yes"/>
    <x v="2"/>
    <x v="2"/>
    <s v="Savings for Future"/>
    <x v="2"/>
    <x v="0"/>
    <x v="2"/>
    <x v="3"/>
    <x v="1"/>
    <s v="Capital Appreciation"/>
    <s v="Better Returns"/>
    <s v="Safe Investment"/>
    <s v="Fixed Returns"/>
    <s v="Financial Consultants"/>
  </r>
  <r>
    <x v="1"/>
    <x v="8"/>
    <s v="Yes"/>
    <n v="2"/>
    <n v="4"/>
    <n v="7"/>
    <n v="5"/>
    <n v="3"/>
    <n v="1"/>
    <n v="6"/>
    <s v="Yes"/>
    <x v="2"/>
    <x v="2"/>
    <s v="Wealth Creation"/>
    <x v="0"/>
    <x v="1"/>
    <x v="0"/>
    <x v="1"/>
    <x v="1"/>
    <s v="Dividend"/>
    <s v="Fund Diversification"/>
    <s v="Assured Returns"/>
    <s v="Fixed Returns"/>
    <s v="Newspapers and Magazines"/>
  </r>
  <r>
    <x v="1"/>
    <x v="9"/>
    <s v="Yes"/>
    <n v="4"/>
    <n v="3"/>
    <n v="5"/>
    <n v="7"/>
    <n v="2"/>
    <n v="1"/>
    <n v="6"/>
    <s v="Yes"/>
    <x v="0"/>
    <x v="0"/>
    <s v="Wealth Creation"/>
    <x v="2"/>
    <x v="0"/>
    <x v="0"/>
    <x v="2"/>
    <x v="0"/>
    <s v="Dividend"/>
    <s v="Better Returns"/>
    <s v="Safe Investment"/>
    <s v="Fixed Returns"/>
    <s v="Financial Consultants"/>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
  <r>
    <x v="0"/>
    <n v="34"/>
    <x v="0"/>
    <n v="1"/>
    <n v="2"/>
    <n v="5"/>
    <n v="3"/>
    <n v="7"/>
    <n v="6"/>
    <x v="0"/>
    <s v="Yes"/>
    <s v="Returns"/>
    <x v="0"/>
    <x v="0"/>
    <s v="1-3 years"/>
    <s v="Monthly"/>
    <s v="20%-30%"/>
    <s v="Mutual Fund"/>
    <x v="0"/>
    <x v="0"/>
    <x v="0"/>
    <s v="Safe Investment"/>
    <s v="Fixed Returns"/>
    <s v="Newspapers and Magazines"/>
  </r>
  <r>
    <x v="0"/>
    <n v="23"/>
    <x v="0"/>
    <n v="4"/>
    <n v="3"/>
    <n v="2"/>
    <n v="1"/>
    <n v="5"/>
    <n v="6"/>
    <x v="1"/>
    <s v="No"/>
    <s v="Locking Period"/>
    <x v="0"/>
    <x v="0"/>
    <s v="More than 5 years"/>
    <s v="Weekly"/>
    <s v="20%-30%"/>
    <s v="Mutual Fund"/>
    <x v="1"/>
    <x v="1"/>
    <x v="0"/>
    <s v="Safe Investment"/>
    <s v="High Interest Rates"/>
    <s v="Financial Consultants"/>
  </r>
  <r>
    <x v="1"/>
    <n v="30"/>
    <x v="0"/>
    <n v="3"/>
    <n v="6"/>
    <n v="4"/>
    <n v="2"/>
    <n v="5"/>
    <n v="1"/>
    <x v="1"/>
    <s v="Yes"/>
    <s v="Returns"/>
    <x v="0"/>
    <x v="0"/>
    <s v="3-5 years"/>
    <s v="Daily"/>
    <s v="20%-30%"/>
    <s v="Equity"/>
    <x v="0"/>
    <x v="0"/>
    <x v="1"/>
    <s v="Assured Returns"/>
    <s v="Fixed Returns"/>
    <s v="Television"/>
  </r>
  <r>
    <x v="1"/>
    <n v="22"/>
    <x v="0"/>
    <n v="2"/>
    <n v="1"/>
    <n v="3"/>
    <n v="7"/>
    <n v="6"/>
    <n v="4"/>
    <x v="2"/>
    <s v="Yes"/>
    <s v="Returns"/>
    <x v="1"/>
    <x v="0"/>
    <s v="Less than 1 year"/>
    <s v="Daily"/>
    <s v="10%-20%"/>
    <s v="Equity"/>
    <x v="0"/>
    <x v="1"/>
    <x v="2"/>
    <s v="Tax Incentives"/>
    <s v="High Interest Rates"/>
    <s v="Internet"/>
  </r>
  <r>
    <x v="0"/>
    <n v="24"/>
    <x v="1"/>
    <n v="2"/>
    <n v="1"/>
    <n v="3"/>
    <n v="6"/>
    <n v="4"/>
    <n v="5"/>
    <x v="1"/>
    <s v="No"/>
    <s v="Returns"/>
    <x v="1"/>
    <x v="0"/>
    <s v="Less than 1 year"/>
    <s v="Daily"/>
    <s v="20%-30%"/>
    <s v="Equity"/>
    <x v="0"/>
    <x v="0"/>
    <x v="0"/>
    <s v="Safe Investment"/>
    <s v="Risk Free"/>
    <s v="Internet"/>
  </r>
  <r>
    <x v="0"/>
    <n v="24"/>
    <x v="1"/>
    <n v="7"/>
    <n v="5"/>
    <n v="4"/>
    <n v="6"/>
    <n v="3"/>
    <n v="1"/>
    <x v="3"/>
    <s v="No"/>
    <s v="Risk"/>
    <x v="0"/>
    <x v="0"/>
    <s v="1-3 years"/>
    <s v="Daily"/>
    <s v="30%-40%"/>
    <s v="Mutual Fund"/>
    <x v="0"/>
    <x v="2"/>
    <x v="2"/>
    <s v="Safe Investment"/>
    <s v="Risk Free"/>
    <s v="Internet"/>
  </r>
  <r>
    <x v="0"/>
    <n v="27"/>
    <x v="0"/>
    <n v="3"/>
    <n v="6"/>
    <n v="4"/>
    <n v="2"/>
    <n v="5"/>
    <n v="1"/>
    <x v="1"/>
    <s v="Yes"/>
    <s v="Returns"/>
    <x v="0"/>
    <x v="0"/>
    <s v="3-5 years"/>
    <s v="Monthly"/>
    <s v="20%-30%"/>
    <s v="Equity"/>
    <x v="0"/>
    <x v="0"/>
    <x v="0"/>
    <s v="Assured Returns"/>
    <s v="High Interest Rates"/>
    <s v="Financial Consultants"/>
  </r>
  <r>
    <x v="1"/>
    <n v="21"/>
    <x v="0"/>
    <n v="2"/>
    <n v="3"/>
    <n v="7"/>
    <n v="4"/>
    <n v="6"/>
    <n v="1"/>
    <x v="2"/>
    <s v="Yes"/>
    <s v="Risk"/>
    <x v="0"/>
    <x v="0"/>
    <s v="3-5 years"/>
    <s v="Monthly"/>
    <s v="20%-30%"/>
    <s v="Mutual Fund"/>
    <x v="0"/>
    <x v="0"/>
    <x v="0"/>
    <s v="Assured Returns"/>
    <s v="Risk Free"/>
    <s v="Newspapers and Magazines"/>
  </r>
  <r>
    <x v="1"/>
    <n v="35"/>
    <x v="0"/>
    <n v="2"/>
    <n v="4"/>
    <n v="7"/>
    <n v="5"/>
    <n v="3"/>
    <n v="1"/>
    <x v="4"/>
    <s v="Yes"/>
    <s v="Returns"/>
    <x v="2"/>
    <x v="1"/>
    <s v="1-3 years"/>
    <s v="Weekly"/>
    <s v="20%-30%"/>
    <s v="Equity"/>
    <x v="0"/>
    <x v="0"/>
    <x v="2"/>
    <s v="Safe Investment"/>
    <s v="Fixed Returns"/>
    <s v="Television"/>
  </r>
  <r>
    <x v="1"/>
    <n v="31"/>
    <x v="0"/>
    <n v="1"/>
    <n v="3"/>
    <n v="7"/>
    <n v="4"/>
    <n v="5"/>
    <n v="2"/>
    <x v="4"/>
    <s v="Yes"/>
    <s v="Returns"/>
    <x v="0"/>
    <x v="0"/>
    <s v="3-5 years"/>
    <s v="Monthly"/>
    <s v="30%-40%"/>
    <s v="Fixed Deposits"/>
    <x v="0"/>
    <x v="0"/>
    <x v="2"/>
    <s v="Assured Returns"/>
    <s v="Fixed Returns"/>
    <s v="Newspapers and Magazines"/>
  </r>
  <r>
    <x v="0"/>
    <n v="35"/>
    <x v="0"/>
    <n v="2"/>
    <n v="4"/>
    <n v="7"/>
    <n v="5"/>
    <n v="3"/>
    <n v="1"/>
    <x v="4"/>
    <s v="Yes"/>
    <s v="Risk"/>
    <x v="2"/>
    <x v="1"/>
    <s v="3-5 years"/>
    <s v="Monthly"/>
    <s v="20%-30%"/>
    <s v="Mutual Fund"/>
    <x v="0"/>
    <x v="0"/>
    <x v="0"/>
    <s v="Assured Returns"/>
    <s v="Risk Free"/>
    <s v="Financial Consultants"/>
  </r>
  <r>
    <x v="1"/>
    <n v="29"/>
    <x v="0"/>
    <n v="2"/>
    <n v="5"/>
    <n v="7"/>
    <n v="6"/>
    <n v="3"/>
    <n v="1"/>
    <x v="0"/>
    <s v="Yes"/>
    <s v="Risk"/>
    <x v="0"/>
    <x v="0"/>
    <s v="1-3 years"/>
    <s v="Monthly"/>
    <s v="20%-30%"/>
    <s v="Mutual Fund"/>
    <x v="0"/>
    <x v="0"/>
    <x v="2"/>
    <s v="Assured Returns"/>
    <s v="Fixed Returns"/>
    <s v="Financial Consultants"/>
  </r>
  <r>
    <x v="0"/>
    <n v="21"/>
    <x v="1"/>
    <n v="1"/>
    <n v="2"/>
    <n v="3"/>
    <n v="4"/>
    <n v="5"/>
    <n v="6"/>
    <x v="1"/>
    <s v="No"/>
    <s v="Returns"/>
    <x v="0"/>
    <x v="1"/>
    <s v="1-3 years"/>
    <s v="Weekly"/>
    <s v="20%-30%"/>
    <s v="Mutual Fund"/>
    <x v="2"/>
    <x v="1"/>
    <x v="0"/>
    <s v="Safe Investment"/>
    <s v="Risk Free"/>
    <s v="Internet"/>
  </r>
  <r>
    <x v="0"/>
    <n v="28"/>
    <x v="0"/>
    <n v="2"/>
    <n v="3"/>
    <n v="7"/>
    <n v="4"/>
    <n v="5"/>
    <n v="1"/>
    <x v="4"/>
    <s v="Yes"/>
    <s v="Returns"/>
    <x v="0"/>
    <x v="0"/>
    <s v="1-3 years"/>
    <s v="Monthly"/>
    <s v="20%-30%"/>
    <s v="Mutual Fund"/>
    <x v="0"/>
    <x v="0"/>
    <x v="2"/>
    <s v="Assured Returns"/>
    <s v="Risk Free"/>
    <s v="Newspapers and Magazines"/>
  </r>
  <r>
    <x v="0"/>
    <n v="25"/>
    <x v="0"/>
    <n v="2"/>
    <n v="3"/>
    <n v="7"/>
    <n v="5"/>
    <n v="4"/>
    <n v="1"/>
    <x v="4"/>
    <s v="Yes"/>
    <s v="Returns"/>
    <x v="0"/>
    <x v="0"/>
    <s v="1-3 years"/>
    <s v="Monthly"/>
    <s v="20%-30%"/>
    <s v="Fixed Deposits"/>
    <x v="1"/>
    <x v="1"/>
    <x v="0"/>
    <s v="Assured Returns"/>
    <s v="Risk Free"/>
    <s v="Financial Consultants"/>
  </r>
  <r>
    <x v="1"/>
    <n v="27"/>
    <x v="0"/>
    <n v="2"/>
    <n v="3"/>
    <n v="7"/>
    <n v="5"/>
    <n v="4"/>
    <n v="1"/>
    <x v="4"/>
    <s v="Yes"/>
    <s v="Returns"/>
    <x v="0"/>
    <x v="0"/>
    <s v="1-3 years"/>
    <s v="Monthly"/>
    <s v="20%-30%"/>
    <s v="Mutual Fund"/>
    <x v="1"/>
    <x v="0"/>
    <x v="2"/>
    <s v="Assured Returns"/>
    <s v="Risk Free"/>
    <s v="Newspapers and Magazines"/>
  </r>
  <r>
    <x v="0"/>
    <n v="28"/>
    <x v="0"/>
    <n v="3"/>
    <n v="2"/>
    <n v="7"/>
    <n v="5"/>
    <n v="4"/>
    <n v="1"/>
    <x v="4"/>
    <s v="Yes"/>
    <s v="Risk"/>
    <x v="2"/>
    <x v="0"/>
    <s v="1-3 years"/>
    <s v="Monthly"/>
    <s v="20%-30%"/>
    <s v="Fixed Deposits"/>
    <x v="1"/>
    <x v="0"/>
    <x v="2"/>
    <s v="Assured Returns"/>
    <s v="Risk Free"/>
    <s v="Television"/>
  </r>
  <r>
    <x v="1"/>
    <n v="27"/>
    <x v="0"/>
    <n v="3"/>
    <n v="2"/>
    <n v="7"/>
    <n v="4"/>
    <n v="5"/>
    <n v="1"/>
    <x v="4"/>
    <s v="Yes"/>
    <s v="Returns"/>
    <x v="0"/>
    <x v="0"/>
    <s v="1-3 years"/>
    <s v="Monthly"/>
    <s v="20%-30%"/>
    <s v="Mutual Fund"/>
    <x v="0"/>
    <x v="0"/>
    <x v="0"/>
    <s v="Assured Returns"/>
    <s v="Risk Free"/>
    <s v="Financial Consultants"/>
  </r>
  <r>
    <x v="1"/>
    <n v="29"/>
    <x v="0"/>
    <n v="3"/>
    <n v="2"/>
    <n v="7"/>
    <n v="4"/>
    <n v="5"/>
    <n v="1"/>
    <x v="4"/>
    <s v="Yes"/>
    <s v="Risk"/>
    <x v="0"/>
    <x v="0"/>
    <s v="1-3 years"/>
    <s v="Monthly"/>
    <s v="20%-30%"/>
    <s v="Mutual Fund"/>
    <x v="0"/>
    <x v="0"/>
    <x v="0"/>
    <s v="Assured Returns"/>
    <s v="Risk Free"/>
    <s v="Newspapers and Magazines"/>
  </r>
  <r>
    <x v="1"/>
    <n v="26"/>
    <x v="0"/>
    <n v="3"/>
    <n v="4"/>
    <n v="6"/>
    <n v="5"/>
    <n v="1"/>
    <n v="2"/>
    <x v="1"/>
    <s v="Yes"/>
    <s v="Risk"/>
    <x v="0"/>
    <x v="0"/>
    <s v="3-5 years"/>
    <s v="Monthly"/>
    <s v="20%-30%"/>
    <s v="Fixed Deposits"/>
    <x v="1"/>
    <x v="0"/>
    <x v="2"/>
    <s v="Assured Returns"/>
    <s v="Risk Free"/>
    <s v="Newspapers and Magazines"/>
  </r>
  <r>
    <x v="1"/>
    <n v="29"/>
    <x v="0"/>
    <n v="2"/>
    <n v="4"/>
    <n v="7"/>
    <n v="5"/>
    <n v="3"/>
    <n v="1"/>
    <x v="4"/>
    <s v="Yes"/>
    <s v="Returns"/>
    <x v="2"/>
    <x v="0"/>
    <s v="3-5 years"/>
    <s v="Weekly"/>
    <s v="20%-30%"/>
    <s v="Mutual Fund"/>
    <x v="0"/>
    <x v="0"/>
    <x v="0"/>
    <s v="Assured Returns"/>
    <s v="Fixed Returns"/>
    <s v="Financial Consultants"/>
  </r>
  <r>
    <x v="0"/>
    <n v="24"/>
    <x v="0"/>
    <n v="2"/>
    <n v="4"/>
    <n v="5"/>
    <n v="6"/>
    <n v="3"/>
    <n v="1"/>
    <x v="1"/>
    <s v="Yes"/>
    <s v="Risk"/>
    <x v="0"/>
    <x v="0"/>
    <s v="3-5 years"/>
    <s v="Monthly"/>
    <s v="20%-30%"/>
    <s v="Equity"/>
    <x v="1"/>
    <x v="0"/>
    <x v="0"/>
    <s v="Assured Returns"/>
    <s v="Risk Free"/>
    <s v="Newspapers and Magazines"/>
  </r>
  <r>
    <x v="1"/>
    <n v="27"/>
    <x v="0"/>
    <n v="3"/>
    <n v="4"/>
    <n v="6"/>
    <n v="5"/>
    <n v="2"/>
    <n v="1"/>
    <x v="1"/>
    <s v="Yes"/>
    <s v="Returns"/>
    <x v="0"/>
    <x v="0"/>
    <s v="3-5 years"/>
    <s v="Monthly"/>
    <s v="20%-30%"/>
    <s v="Mutual Fund"/>
    <x v="0"/>
    <x v="0"/>
    <x v="0"/>
    <s v="Assured Returns"/>
    <s v="Risk Free"/>
    <s v="Financial Consultants"/>
  </r>
  <r>
    <x v="1"/>
    <n v="25"/>
    <x v="0"/>
    <n v="2"/>
    <n v="4"/>
    <n v="6"/>
    <n v="5"/>
    <n v="3"/>
    <n v="1"/>
    <x v="1"/>
    <s v="Yes"/>
    <s v="Risk"/>
    <x v="2"/>
    <x v="1"/>
    <s v="3-5 years"/>
    <s v="Weekly"/>
    <s v="20%-30%"/>
    <s v="Public Provident Fund"/>
    <x v="1"/>
    <x v="2"/>
    <x v="0"/>
    <s v="Assured Returns"/>
    <s v="Risk Free"/>
    <s v="Financial Consultants"/>
  </r>
  <r>
    <x v="0"/>
    <n v="26"/>
    <x v="0"/>
    <n v="2"/>
    <n v="3"/>
    <n v="7"/>
    <n v="5"/>
    <n v="4"/>
    <n v="1"/>
    <x v="4"/>
    <s v="Yes"/>
    <s v="Returns"/>
    <x v="0"/>
    <x v="0"/>
    <s v="3-5 years"/>
    <s v="Monthly"/>
    <s v="30%-40%"/>
    <s v="Public Provident Fund"/>
    <x v="0"/>
    <x v="0"/>
    <x v="0"/>
    <s v="Assured Returns"/>
    <s v="Risk Free"/>
    <s v="Newspapers and Magazines"/>
  </r>
  <r>
    <x v="0"/>
    <n v="32"/>
    <x v="0"/>
    <n v="3"/>
    <n v="4"/>
    <n v="7"/>
    <n v="5"/>
    <n v="1"/>
    <n v="2"/>
    <x v="4"/>
    <s v="Yes"/>
    <s v="Risk"/>
    <x v="2"/>
    <x v="0"/>
    <s v="3-5 years"/>
    <s v="Monthly"/>
    <s v="20%-30%"/>
    <s v="Mutual Fund"/>
    <x v="0"/>
    <x v="0"/>
    <x v="0"/>
    <s v="Assured Returns"/>
    <s v="Fixed Returns"/>
    <s v="Financial Consultants"/>
  </r>
  <r>
    <x v="1"/>
    <n v="26"/>
    <x v="0"/>
    <n v="3"/>
    <n v="4"/>
    <n v="6"/>
    <n v="5"/>
    <n v="1"/>
    <n v="2"/>
    <x v="1"/>
    <s v="Yes"/>
    <s v="Returns"/>
    <x v="0"/>
    <x v="0"/>
    <s v="3-5 years"/>
    <s v="Monthly"/>
    <s v="20%-30%"/>
    <s v="Mutual Fund"/>
    <x v="0"/>
    <x v="1"/>
    <x v="2"/>
    <s v="Assured Returns"/>
    <s v="Fixed Returns"/>
    <s v="Financial Consultants"/>
  </r>
  <r>
    <x v="1"/>
    <n v="31"/>
    <x v="0"/>
    <n v="2"/>
    <n v="3"/>
    <n v="7"/>
    <n v="6"/>
    <n v="4"/>
    <n v="1"/>
    <x v="2"/>
    <s v="Yes"/>
    <s v="Risk"/>
    <x v="2"/>
    <x v="1"/>
    <s v="1-3 years"/>
    <s v="Monthly"/>
    <s v="20%-30%"/>
    <s v="Fixed Deposits"/>
    <x v="1"/>
    <x v="0"/>
    <x v="2"/>
    <s v="Safe Investment"/>
    <s v="Fixed Returns"/>
    <s v="Television"/>
  </r>
  <r>
    <x v="1"/>
    <n v="29"/>
    <x v="0"/>
    <n v="2"/>
    <n v="3"/>
    <n v="6"/>
    <n v="5"/>
    <n v="1"/>
    <n v="4"/>
    <x v="1"/>
    <s v="Yes"/>
    <s v="Returns"/>
    <x v="0"/>
    <x v="0"/>
    <s v="1-3 years"/>
    <s v="Monthly"/>
    <s v="20%-30%"/>
    <s v="Equity"/>
    <x v="0"/>
    <x v="0"/>
    <x v="0"/>
    <s v="Assured Returns"/>
    <s v="Risk Free"/>
    <s v="Television"/>
  </r>
  <r>
    <x v="0"/>
    <n v="34"/>
    <x v="0"/>
    <n v="5"/>
    <n v="4"/>
    <n v="3"/>
    <n v="2"/>
    <n v="7"/>
    <n v="1"/>
    <x v="4"/>
    <s v="Yes"/>
    <s v="Returns"/>
    <x v="1"/>
    <x v="2"/>
    <s v="3-5 years"/>
    <s v="Monthly"/>
    <s v="10%-20%"/>
    <s v="Mutual Fund"/>
    <x v="0"/>
    <x v="0"/>
    <x v="1"/>
    <s v="Safe Investment"/>
    <s v="Fixed Returns"/>
    <s v="Newspapers and Magazines"/>
  </r>
  <r>
    <x v="1"/>
    <n v="27"/>
    <x v="0"/>
    <n v="4"/>
    <n v="5"/>
    <n v="1"/>
    <n v="2"/>
    <n v="7"/>
    <n v="3"/>
    <x v="4"/>
    <s v="No"/>
    <s v="Returns"/>
    <x v="2"/>
    <x v="0"/>
    <s v="1-3 years"/>
    <s v="Monthly"/>
    <s v="10%-20%"/>
    <s v="Mutual Fund"/>
    <x v="2"/>
    <x v="0"/>
    <x v="1"/>
    <s v="Safe Investment"/>
    <s v="Fixed Returns"/>
    <s v="Television"/>
  </r>
  <r>
    <x v="0"/>
    <n v="31"/>
    <x v="0"/>
    <n v="2"/>
    <n v="4"/>
    <n v="7"/>
    <n v="6"/>
    <n v="3"/>
    <n v="1"/>
    <x v="2"/>
    <s v="Yes"/>
    <s v="Returns"/>
    <x v="0"/>
    <x v="0"/>
    <s v="3-5 years"/>
    <s v="Monthly"/>
    <s v="20%-30%"/>
    <s v="Fixed Deposits"/>
    <x v="0"/>
    <x v="0"/>
    <x v="0"/>
    <s v="Assured Returns"/>
    <s v="Fixed Returns"/>
    <s v="Financial Consultants"/>
  </r>
  <r>
    <x v="1"/>
    <n v="27"/>
    <x v="0"/>
    <n v="2"/>
    <n v="4"/>
    <n v="7"/>
    <n v="5"/>
    <n v="1"/>
    <n v="3"/>
    <x v="4"/>
    <s v="Yes"/>
    <s v="Returns"/>
    <x v="0"/>
    <x v="0"/>
    <s v="3-5 years"/>
    <s v="Monthly"/>
    <s v="30%-40%"/>
    <s v="Equity"/>
    <x v="1"/>
    <x v="0"/>
    <x v="2"/>
    <s v="Assured Returns"/>
    <s v="Fixed Returns"/>
    <s v="Newspapers and Magazines"/>
  </r>
  <r>
    <x v="1"/>
    <n v="26"/>
    <x v="0"/>
    <n v="2"/>
    <n v="3"/>
    <n v="6"/>
    <n v="4"/>
    <n v="1"/>
    <n v="5"/>
    <x v="1"/>
    <s v="Yes"/>
    <s v="Returns"/>
    <x v="0"/>
    <x v="2"/>
    <s v="1-3 years"/>
    <s v="Monthly"/>
    <s v="20%-30%"/>
    <s v="Fixed Deposits"/>
    <x v="2"/>
    <x v="1"/>
    <x v="0"/>
    <s v="Safe Investment"/>
    <s v="Risk Free"/>
    <s v="Newspapers and Magazines"/>
  </r>
  <r>
    <x v="1"/>
    <n v="27"/>
    <x v="0"/>
    <n v="2"/>
    <n v="3"/>
    <n v="6"/>
    <n v="5"/>
    <n v="4"/>
    <n v="1"/>
    <x v="1"/>
    <s v="Yes"/>
    <s v="Returns"/>
    <x v="0"/>
    <x v="0"/>
    <s v="1-3 years"/>
    <s v="Weekly"/>
    <s v="20%-30%"/>
    <s v="Mutual Fund"/>
    <x v="1"/>
    <x v="0"/>
    <x v="0"/>
    <s v="Safe Investment"/>
    <s v="Fixed Returns"/>
    <s v="Financial Consultants"/>
  </r>
  <r>
    <x v="1"/>
    <n v="30"/>
    <x v="0"/>
    <n v="1"/>
    <n v="4"/>
    <n v="6"/>
    <n v="5"/>
    <n v="3"/>
    <n v="2"/>
    <x v="1"/>
    <s v="Yes"/>
    <s v="Risk"/>
    <x v="2"/>
    <x v="0"/>
    <s v="3-5 years"/>
    <s v="Monthly"/>
    <s v="20%-30%"/>
    <s v="Fixed Deposits"/>
    <x v="1"/>
    <x v="0"/>
    <x v="0"/>
    <s v="Assured Returns"/>
    <s v="Fixed Returns"/>
    <s v="Financial Consultants"/>
  </r>
  <r>
    <x v="1"/>
    <n v="30"/>
    <x v="0"/>
    <n v="2"/>
    <n v="4"/>
    <n v="7"/>
    <n v="5"/>
    <n v="1"/>
    <n v="3"/>
    <x v="4"/>
    <s v="Yes"/>
    <s v="Returns"/>
    <x v="0"/>
    <x v="0"/>
    <s v="1-3 years"/>
    <s v="Monthly"/>
    <s v="20%-30%"/>
    <s v="Equity"/>
    <x v="0"/>
    <x v="0"/>
    <x v="0"/>
    <s v="Assured Returns"/>
    <s v="Risk Free"/>
    <s v="Newspapers and Magazines"/>
  </r>
  <r>
    <x v="1"/>
    <n v="25"/>
    <x v="0"/>
    <n v="5"/>
    <n v="4"/>
    <n v="7"/>
    <n v="6"/>
    <n v="1"/>
    <n v="2"/>
    <x v="5"/>
    <s v="Yes"/>
    <s v="Risk"/>
    <x v="2"/>
    <x v="1"/>
    <s v="3-5 years"/>
    <s v="Monthly"/>
    <s v="30%-40%"/>
    <s v="Public Provident Fund"/>
    <x v="1"/>
    <x v="0"/>
    <x v="0"/>
    <s v="Safe Investment"/>
    <s v="Fixed Returns"/>
    <s v="Financial Consultants"/>
  </r>
  <r>
    <x v="1"/>
    <n v="31"/>
    <x v="0"/>
    <n v="2"/>
    <n v="4"/>
    <n v="7"/>
    <n v="5"/>
    <n v="3"/>
    <n v="1"/>
    <x v="4"/>
    <s v="Yes"/>
    <s v="Risk"/>
    <x v="2"/>
    <x v="0"/>
    <s v="1-3 years"/>
    <s v="Weekly"/>
    <s v="20%-30%"/>
    <s v="Equity"/>
    <x v="1"/>
    <x v="1"/>
    <x v="2"/>
    <s v="Assured Returns"/>
    <s v="Fixed Returns"/>
    <s v="Newspapers and Magazines"/>
  </r>
  <r>
    <x v="1"/>
    <n v="29"/>
    <x v="0"/>
    <n v="4"/>
    <n v="3"/>
    <n v="5"/>
    <n v="7"/>
    <n v="2"/>
    <n v="1"/>
    <x v="4"/>
    <s v="Yes"/>
    <s v="Returns"/>
    <x v="0"/>
    <x v="0"/>
    <s v="3-5 years"/>
    <s v="Monthly"/>
    <s v="20%-30%"/>
    <s v="Fixed Deposits"/>
    <x v="0"/>
    <x v="1"/>
    <x v="0"/>
    <s v="Safe Investment"/>
    <s v="Fixed Returns"/>
    <s v="Financial Consultant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FAEB519-5B6B-49C6-BADD-356562D383D5}" name="PivotTable3" cacheId="48"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F67:H69" firstHeaderRow="1" firstDataRow="2" firstDataCol="1"/>
  <pivotFields count="24">
    <pivotField axis="axisCol" dataField="1" showAll="0">
      <items count="3">
        <item x="0"/>
        <item x="1"/>
        <item t="default"/>
      </items>
    </pivotField>
    <pivotField showAll="0"/>
    <pivotField showAll="0">
      <items count="3">
        <item x="1"/>
        <item x="0"/>
        <item t="default"/>
      </items>
    </pivotField>
    <pivotField showAll="0"/>
    <pivotField showAll="0"/>
    <pivotField showAll="0"/>
    <pivotField showAll="0"/>
    <pivotField showAll="0"/>
    <pivotField showAll="0"/>
    <pivotField showAll="0">
      <items count="7">
        <item x="3"/>
        <item x="5"/>
        <item x="0"/>
        <item x="2"/>
        <item x="4"/>
        <item x="1"/>
        <item t="default"/>
      </items>
    </pivotField>
    <pivotField showAll="0"/>
    <pivotField showAll="0"/>
    <pivotField axis="axisRow" showAll="0" measureFilter="1">
      <items count="4">
        <item x="0"/>
        <item x="2"/>
        <item x="1"/>
        <item t="default"/>
      </items>
    </pivotField>
    <pivotField showAll="0">
      <items count="4">
        <item x="2"/>
        <item x="1"/>
        <item x="0"/>
        <item t="default"/>
      </items>
    </pivotField>
    <pivotField showAll="0"/>
    <pivotField showAll="0"/>
    <pivotField showAll="0"/>
    <pivotField showAll="0"/>
    <pivotField showAll="0">
      <items count="4">
        <item x="2"/>
        <item x="1"/>
        <item x="0"/>
        <item t="default"/>
      </items>
    </pivotField>
    <pivotField showAll="0">
      <items count="4">
        <item x="0"/>
        <item x="1"/>
        <item x="2"/>
        <item t="default"/>
      </items>
    </pivotField>
    <pivotField showAll="0">
      <items count="4">
        <item x="0"/>
        <item x="2"/>
        <item x="1"/>
        <item t="default"/>
      </items>
    </pivotField>
    <pivotField showAll="0"/>
    <pivotField showAll="0"/>
    <pivotField showAll="0"/>
  </pivotFields>
  <rowFields count="1">
    <field x="12"/>
  </rowFields>
  <rowItems count="1">
    <i>
      <x/>
    </i>
  </rowItems>
  <colFields count="1">
    <field x="0"/>
  </colFields>
  <colItems count="2">
    <i>
      <x/>
    </i>
    <i>
      <x v="1"/>
    </i>
  </colItems>
  <dataFields count="1">
    <dataField name="Count of gender" fld="0" subtotal="count" baseField="0" baseItem="0"/>
  </dataFields>
  <pivotTableStyleInfo name="PivotStyleLight16" showRowHeaders="1" showColHeaders="1" showRowStripes="0" showColStripes="0" showLastColumn="1"/>
  <filters count="1">
    <filter fld="12"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BCBE7B9-EC22-4485-A3EE-98AD8E208ACE}" name="PivotTable2" cacheId="4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67:D68" firstHeaderRow="1" firstDataRow="1" firstDataCol="0"/>
  <pivotFields count="24">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Average of age" fld="1"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0A08FEC-0D43-4F4F-8138-CD8076C51F74}" name="PivotTable1" cacheId="4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67:B68" firstHeaderRow="1" firstDataRow="1" firstDataCol="0"/>
  <pivotFields count="24">
    <pivotField showAll="0">
      <items count="3">
        <item x="0"/>
        <item x="1"/>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Count of Mutual_Funds"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E9B7E1-EDD9-48FB-9D27-E02970142C49}" name="PT_Gender" cacheId="49" applyNumberFormats="0" applyBorderFormats="0" applyFontFormats="0" applyPatternFormats="0" applyAlignmentFormats="0" applyWidthHeightFormats="1" dataCaption="Values" updatedVersion="8" minRefreshableVersion="3" showCalcMbrs="0" showDrill="0" useAutoFormatting="1" rowGrandTotals="0" colGrandTotals="0" itemPrintTitles="1" createdVersion="3" indent="0" outline="1" outlineData="1" multipleFieldFilters="0" chartFormat="19">
  <location ref="B6:G9" firstHeaderRow="1" firstDataRow="2" firstDataCol="1"/>
  <pivotFields count="24">
    <pivotField axis="axisRow" showAll="0">
      <items count="3">
        <item x="0"/>
        <item x="1"/>
        <item t="default"/>
      </items>
    </pivotField>
    <pivotField showAll="0">
      <items count="15">
        <item x="6"/>
        <item x="3"/>
        <item x="1"/>
        <item x="4"/>
        <item x="11"/>
        <item x="12"/>
        <item x="5"/>
        <item x="10"/>
        <item x="9"/>
        <item x="2"/>
        <item x="8"/>
        <item x="13"/>
        <item x="0"/>
        <item x="7"/>
        <item t="default"/>
      </items>
    </pivotField>
    <pivotField showAll="0"/>
    <pivotField dataField="1" showAll="0"/>
    <pivotField dataField="1" showAll="0"/>
    <pivotField showAll="0"/>
    <pivotField showAll="0"/>
    <pivotField dataField="1" showAll="0"/>
    <pivotField dataField="1" showAll="0"/>
    <pivotField dataField="1" showAll="0"/>
    <pivotField showAll="0"/>
    <pivotField showAll="0"/>
    <pivotField showAll="0">
      <items count="4">
        <item x="0"/>
        <item x="2"/>
        <item x="1"/>
        <item t="default"/>
      </items>
    </pivotField>
    <pivotField showAll="0"/>
    <pivotField showAll="0">
      <items count="5">
        <item x="0"/>
        <item x="2"/>
        <item x="3"/>
        <item x="1"/>
        <item t="default"/>
      </items>
    </pivotField>
    <pivotField showAll="0"/>
    <pivotField showAll="0"/>
    <pivotField showAll="0"/>
    <pivotField showAll="0"/>
    <pivotField showAll="0"/>
    <pivotField showAll="0"/>
    <pivotField showAll="0"/>
    <pivotField showAll="0"/>
    <pivotField showAll="0"/>
  </pivotFields>
  <rowFields count="1">
    <field x="0"/>
  </rowFields>
  <rowItems count="2">
    <i>
      <x/>
    </i>
    <i>
      <x v="1"/>
    </i>
  </rowItems>
  <colFields count="1">
    <field x="-2"/>
  </colFields>
  <colItems count="5">
    <i>
      <x/>
    </i>
    <i i="1">
      <x v="1"/>
    </i>
    <i i="2">
      <x v="2"/>
    </i>
    <i i="3">
      <x v="3"/>
    </i>
    <i i="4">
      <x v="4"/>
    </i>
  </colItems>
  <dataFields count="5">
    <dataField name="Mutual Funds" fld="3" baseField="0" baseItem="0"/>
    <dataField name="Equity" fld="4" baseField="0" baseItem="0"/>
    <dataField name="Sum of Gold" fld="9" baseField="0" baseItem="0"/>
    <dataField name="Fixed Deposits" fld="7" baseField="0" baseItem="0"/>
    <dataField name="Sum of PPF" fld="8" baseField="0" baseItem="0"/>
  </dataFields>
  <chartFormats count="5">
    <chartFormat chart="14" format="20" series="1">
      <pivotArea type="data" outline="0" fieldPosition="0">
        <references count="1">
          <reference field="4294967294" count="1" selected="0">
            <x v="0"/>
          </reference>
        </references>
      </pivotArea>
    </chartFormat>
    <chartFormat chart="14" format="21" series="1">
      <pivotArea type="data" outline="0" fieldPosition="0">
        <references count="1">
          <reference field="4294967294" count="1" selected="0">
            <x v="1"/>
          </reference>
        </references>
      </pivotArea>
    </chartFormat>
    <chartFormat chart="14" format="22" series="1">
      <pivotArea type="data" outline="0" fieldPosition="0">
        <references count="1">
          <reference field="4294967294" count="1" selected="0">
            <x v="2"/>
          </reference>
        </references>
      </pivotArea>
    </chartFormat>
    <chartFormat chart="14" format="23" series="1">
      <pivotArea type="data" outline="0" fieldPosition="0">
        <references count="1">
          <reference field="4294967294" count="1" selected="0">
            <x v="3"/>
          </reference>
        </references>
      </pivotArea>
    </chartFormat>
    <chartFormat chart="14" format="24" series="1">
      <pivotArea type="data" outline="0" fieldPosition="0">
        <references count="1">
          <reference field="4294967294" count="1" selected="0">
            <x v="4"/>
          </reference>
        </references>
      </pivotArea>
    </chartFormat>
  </chartFormats>
  <pivotTableStyleInfo name="PivotStyleMedium9"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3D4F8AC-AB8D-4BEE-9BCA-FD54223A0E4D}" name="PT_Avenue" cacheId="49" applyNumberFormats="0" applyBorderFormats="0" applyFontFormats="0" applyPatternFormats="0" applyAlignmentFormats="0" applyWidthHeightFormats="1" dataCaption="Values" updatedVersion="8" minRefreshableVersion="3" showCalcMbrs="0" showDrill="0" useAutoFormatting="1" rowGrandTotals="0" colGrandTotals="0" itemPrintTitles="1" createdVersion="3" indent="0" outline="1" outlineData="1" multipleFieldFilters="0" chartFormat="7">
  <location ref="J6:K10" firstHeaderRow="1" firstDataRow="1" firstDataCol="1"/>
  <pivotFields count="24">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items count="5">
        <item x="0"/>
        <item x="2"/>
        <item x="3"/>
        <item x="1"/>
        <item t="default"/>
      </items>
    </pivotField>
    <pivotField showAll="0"/>
    <pivotField showAll="0"/>
    <pivotField axis="axisRow" dataField="1" showAll="0" sortType="descending">
      <items count="5">
        <item x="1"/>
        <item x="2"/>
        <item x="0"/>
        <item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s>
  <rowFields count="1">
    <field x="17"/>
  </rowFields>
  <rowItems count="4">
    <i>
      <x v="2"/>
    </i>
    <i>
      <x/>
    </i>
    <i>
      <x v="1"/>
    </i>
    <i>
      <x v="3"/>
    </i>
  </rowItems>
  <colItems count="1">
    <i/>
  </colItems>
  <dataFields count="1">
    <dataField name="Count of Investors" fld="17" subtotal="count" baseField="0" baseItem="0"/>
  </dataFields>
  <chartFormats count="1">
    <chartFormat chart="4" format="35" series="1">
      <pivotArea type="data" outline="0" fieldPosition="0">
        <references count="1">
          <reference field="4294967294" count="1" selected="0">
            <x v="0"/>
          </reference>
        </references>
      </pivotArea>
    </chartFormat>
  </chartFormats>
  <pivotTableStyleInfo name="PivotStyleMedium9"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A2B927C-452B-4528-A1AC-A138BDA54F51}" name="PT_Objective" cacheId="49" applyNumberFormats="0" applyBorderFormats="0" applyFontFormats="0" applyPatternFormats="0" applyAlignmentFormats="0" applyWidthHeightFormats="1" dataCaption="Values" updatedVersion="8" minRefreshableVersion="3" showCalcMbrs="0" showDrill="0" useAutoFormatting="1" rowGrandTotals="0" colGrandTotals="0" itemPrintTitles="1" createdVersion="3" indent="0" outline="1" outlineData="1" multipleFieldFilters="0" chartFormat="12">
  <location ref="B24:D28" firstHeaderRow="1" firstDataRow="2" firstDataCol="1"/>
  <pivotFields count="24">
    <pivotField axis="axisCol"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axis="axisRow" dataField="1" showAll="0">
      <items count="4">
        <item x="0"/>
        <item x="2"/>
        <item x="1"/>
        <item t="default"/>
      </items>
    </pivotField>
    <pivotField showAll="0"/>
    <pivotField showAll="0">
      <items count="5">
        <item x="0"/>
        <item x="2"/>
        <item x="3"/>
        <item x="1"/>
        <item t="default"/>
      </items>
    </pivotField>
    <pivotField showAll="0"/>
    <pivotField showAll="0"/>
    <pivotField showAll="0"/>
    <pivotField showAll="0"/>
    <pivotField showAll="0"/>
    <pivotField showAll="0"/>
    <pivotField showAll="0"/>
    <pivotField showAll="0"/>
    <pivotField showAll="0"/>
  </pivotFields>
  <rowFields count="1">
    <field x="12"/>
  </rowFields>
  <rowItems count="3">
    <i>
      <x/>
    </i>
    <i>
      <x v="1"/>
    </i>
    <i>
      <x v="2"/>
    </i>
  </rowItems>
  <colFields count="1">
    <field x="0"/>
  </colFields>
  <colItems count="2">
    <i>
      <x/>
    </i>
    <i>
      <x v="1"/>
    </i>
  </colItems>
  <dataFields count="1">
    <dataField name="Count" fld="12" subtotal="count" baseField="0" baseItem="0"/>
  </dataFields>
  <chartFormats count="3">
    <chartFormat chart="4" format="4" series="1">
      <pivotArea type="data" outline="0" fieldPosition="0">
        <references count="2">
          <reference field="4294967294" count="1" selected="0">
            <x v="0"/>
          </reference>
          <reference field="0" count="1" selected="0">
            <x v="0"/>
          </reference>
        </references>
      </pivotArea>
    </chartFormat>
    <chartFormat chart="4" format="5" series="1">
      <pivotArea type="data" outline="0" fieldPosition="0">
        <references count="2">
          <reference field="4294967294" count="1" selected="0">
            <x v="0"/>
          </reference>
          <reference field="0" count="1" selected="0">
            <x v="1"/>
          </reference>
        </references>
      </pivotArea>
    </chartFormat>
    <chartFormat chart="4" format="6" series="1">
      <pivotArea type="data" outline="0" fieldPosition="0">
        <references count="1">
          <reference field="4294967294" count="1" selected="0">
            <x v="0"/>
          </reference>
        </references>
      </pivotArea>
    </chartFormat>
  </chartFormats>
  <pivotTableStyleInfo name="PivotStyleMedium9"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4EB2539-40C9-4225-9DC6-DD4B32504BB2}" name="PT_Duration" cacheId="49" applyNumberFormats="0" applyBorderFormats="0" applyFontFormats="0" applyPatternFormats="0" applyAlignmentFormats="0" applyWidthHeightFormats="1" dataCaption="Values" updatedVersion="8" minRefreshableVersion="3" showCalcMbrs="0" showDrill="0" useAutoFormatting="1" rowGrandTotals="0" colGrandTotals="0" itemPrintTitles="1" createdVersion="3" indent="0" outline="1" outlineData="1" multipleFieldFilters="0" chartFormat="9">
  <location ref="H24:I28" firstHeaderRow="1" firstDataRow="1" firstDataCol="1"/>
  <pivotFields count="24">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axis="axisRow" dataField="1" showAll="0">
      <items count="5">
        <item x="0"/>
        <item x="2"/>
        <item x="3"/>
        <item x="1"/>
        <item t="default"/>
      </items>
    </pivotField>
    <pivotField showAll="0"/>
    <pivotField showAll="0"/>
    <pivotField showAll="0"/>
    <pivotField showAll="0"/>
    <pivotField showAll="0"/>
    <pivotField showAll="0"/>
    <pivotField showAll="0"/>
    <pivotField showAll="0"/>
    <pivotField showAll="0"/>
  </pivotFields>
  <rowFields count="1">
    <field x="14"/>
  </rowFields>
  <rowItems count="4">
    <i>
      <x/>
    </i>
    <i>
      <x v="1"/>
    </i>
    <i>
      <x v="2"/>
    </i>
    <i>
      <x v="3"/>
    </i>
  </rowItems>
  <colItems count="1">
    <i/>
  </colItems>
  <dataFields count="1">
    <dataField name="No. of Investors" fld="14" subtotal="count" baseField="0" baseItem="0"/>
  </dataFields>
  <chartFormats count="1">
    <chartFormat chart="6" format="35" series="1">
      <pivotArea type="data" outline="0" fieldPosition="0">
        <references count="1">
          <reference field="4294967294" count="1" selected="0">
            <x v="0"/>
          </reference>
        </references>
      </pivotArea>
    </chartFormat>
  </chartFormats>
  <pivotTableStyleInfo name="PivotStyleMedium9"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607FDCB-1DD0-4392-8077-70A024B40568}" name="PT_Factor" cacheId="49" applyNumberFormats="0" applyBorderFormats="0" applyFontFormats="0" applyPatternFormats="0" applyAlignmentFormats="0" applyWidthHeightFormats="1" dataCaption="Values" updatedVersion="8" minRefreshableVersion="3" showCalcMbrs="0" showDrill="0" useAutoFormatting="1" rowGrandTotals="0" colGrandTotals="0" itemPrintTitles="1" createdVersion="3" indent="0" outline="1" outlineData="1" multipleFieldFilters="0" chartFormat="8">
  <location ref="B42:C45" firstHeaderRow="1" firstDataRow="1" firstDataCol="1"/>
  <pivotFields count="24">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axis="axisRow" dataField="1" showAll="0">
      <items count="4">
        <item x="1"/>
        <item x="0"/>
        <item x="2"/>
        <item t="default"/>
      </items>
    </pivotField>
    <pivotField showAll="0">
      <items count="4">
        <item x="0"/>
        <item x="2"/>
        <item x="1"/>
        <item t="default"/>
      </items>
    </pivotField>
    <pivotField showAll="0"/>
    <pivotField showAll="0">
      <items count="5">
        <item x="0"/>
        <item x="2"/>
        <item x="3"/>
        <item x="1"/>
        <item t="default"/>
      </items>
    </pivotField>
    <pivotField showAll="0"/>
    <pivotField showAll="0"/>
    <pivotField showAll="0"/>
    <pivotField showAll="0"/>
    <pivotField showAll="0"/>
    <pivotField showAll="0"/>
    <pivotField showAll="0"/>
    <pivotField showAll="0"/>
    <pivotField showAll="0"/>
  </pivotFields>
  <rowFields count="1">
    <field x="11"/>
  </rowFields>
  <rowItems count="3">
    <i>
      <x/>
    </i>
    <i>
      <x v="1"/>
    </i>
    <i>
      <x v="2"/>
    </i>
  </rowItems>
  <colItems count="1">
    <i/>
  </colItems>
  <dataFields count="1">
    <dataField name="Count" fld="11" subtotal="count" baseField="0" baseItem="0"/>
  </dataFields>
  <chartFormats count="1">
    <chartFormat chart="4" format="2" series="1">
      <pivotArea type="data" outline="0" fieldPosition="0">
        <references count="1">
          <reference field="4294967294" count="1" selected="0">
            <x v="0"/>
          </reference>
        </references>
      </pivotArea>
    </chartFormat>
  </chartFormats>
  <pivotTableStyleInfo name="PivotStyleMedium9"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0886304-3502-4432-8FA7-15E3B87925B5}" name="PT_Monitor" cacheId="49" applyNumberFormats="0" applyBorderFormats="0" applyFontFormats="0" applyPatternFormats="0" applyAlignmentFormats="0" applyWidthHeightFormats="1" dataCaption="Values" updatedVersion="8" minRefreshableVersion="3" showCalcMbrs="0" showDrill="0" useAutoFormatting="1" rowGrandTotals="0" colGrandTotals="0" itemPrintTitles="1" createdVersion="3" indent="0" outline="1" outlineData="1" multipleFieldFilters="0" chartFormat="5">
  <location ref="H42:I45" firstHeaderRow="1" firstDataRow="1" firstDataCol="1"/>
  <pivotFields count="24">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items count="5">
        <item x="0"/>
        <item x="2"/>
        <item x="3"/>
        <item x="1"/>
        <item t="default"/>
      </items>
    </pivotField>
    <pivotField axis="axisRow" dataField="1" showAll="0">
      <items count="4">
        <item x="2"/>
        <item x="0"/>
        <item x="1"/>
        <item t="default"/>
      </items>
    </pivotField>
    <pivotField showAll="0"/>
    <pivotField showAll="0"/>
    <pivotField showAll="0"/>
    <pivotField showAll="0"/>
    <pivotField showAll="0"/>
    <pivotField showAll="0"/>
    <pivotField showAll="0"/>
    <pivotField showAll="0"/>
  </pivotFields>
  <rowFields count="1">
    <field x="15"/>
  </rowFields>
  <rowItems count="3">
    <i>
      <x/>
    </i>
    <i>
      <x v="1"/>
    </i>
    <i>
      <x v="2"/>
    </i>
  </rowItems>
  <colItems count="1">
    <i/>
  </colItems>
  <dataFields count="1">
    <dataField name="No. of Investors" fld="15" subtotal="count" baseField="0" baseItem="0"/>
  </dataFields>
  <chartFormats count="1">
    <chartFormat chart="4" format="5" series="1">
      <pivotArea type="data" outline="0" fieldPosition="0">
        <references count="1">
          <reference field="4294967294" count="1" selected="0">
            <x v="0"/>
          </reference>
        </references>
      </pivotArea>
    </chartFormat>
  </chartFormats>
  <pivotTableStyleInfo name="PivotStyleMedium9"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4EBD07E-952F-4C90-9803-5F840DD6CCFE}" name="PT_Expect" cacheId="49" applyNumberFormats="0" applyBorderFormats="0" applyFontFormats="0" applyPatternFormats="0" applyAlignmentFormats="0" applyWidthHeightFormats="1" dataCaption="Values" updatedVersion="8" minRefreshableVersion="3" showCalcMbrs="0" showDrill="0" useAutoFormatting="1" rowGrandTotals="0" colGrandTotals="0" itemPrintTitles="1" createdVersion="3" indent="0" outline="1" outlineData="1" multipleFieldFilters="0" chartFormat="9">
  <location ref="B60:D64" firstHeaderRow="1" firstDataRow="2" firstDataCol="1"/>
  <pivotFields count="24">
    <pivotField axis="axisCol"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items count="5">
        <item x="0"/>
        <item x="2"/>
        <item x="3"/>
        <item x="1"/>
        <item t="default"/>
      </items>
    </pivotField>
    <pivotField showAll="0"/>
    <pivotField axis="axisRow" dataField="1" showAll="0">
      <items count="4">
        <item x="1"/>
        <item x="0"/>
        <item x="2"/>
        <item t="default"/>
      </items>
    </pivotField>
    <pivotField showAll="0"/>
    <pivotField showAll="0"/>
    <pivotField showAll="0"/>
    <pivotField showAll="0"/>
    <pivotField showAll="0"/>
    <pivotField showAll="0"/>
    <pivotField showAll="0"/>
  </pivotFields>
  <rowFields count="1">
    <field x="16"/>
  </rowFields>
  <rowItems count="3">
    <i>
      <x/>
    </i>
    <i>
      <x v="1"/>
    </i>
    <i>
      <x v="2"/>
    </i>
  </rowItems>
  <colFields count="1">
    <field x="0"/>
  </colFields>
  <colItems count="2">
    <i>
      <x/>
    </i>
    <i>
      <x v="1"/>
    </i>
  </colItems>
  <dataFields count="1">
    <dataField name="Count" fld="16" subtotal="count" baseField="0" baseItem="0"/>
  </dataFields>
  <chartFormats count="3">
    <chartFormat chart="6" format="10" series="1">
      <pivotArea type="data" outline="0" fieldPosition="0">
        <references count="2">
          <reference field="4294967294" count="1" selected="0">
            <x v="0"/>
          </reference>
          <reference field="0" count="1" selected="0">
            <x v="0"/>
          </reference>
        </references>
      </pivotArea>
    </chartFormat>
    <chartFormat chart="6" format="11" series="1">
      <pivotArea type="data" outline="0" fieldPosition="0">
        <references count="2">
          <reference field="4294967294" count="1" selected="0">
            <x v="0"/>
          </reference>
          <reference field="0" count="1" selected="0">
            <x v="1"/>
          </reference>
        </references>
      </pivotArea>
    </chartFormat>
    <chartFormat chart="6" format="12" series="1">
      <pivotArea type="data" outline="0" fieldPosition="0">
        <references count="1">
          <reference field="4294967294" count="1" selected="0">
            <x v="0"/>
          </reference>
        </references>
      </pivotArea>
    </chartFormat>
  </chartFormats>
  <pivotTableStyleInfo name="PivotStyleMedium9"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6F0D4C2-E01A-4420-BE17-E14D6179AA29}" name="PT_Savings" cacheId="49" applyNumberFormats="0" applyBorderFormats="0" applyFontFormats="0" applyPatternFormats="0" applyAlignmentFormats="0" applyWidthHeightFormats="1" dataCaption="Values" updatedVersion="8" minRefreshableVersion="3" showCalcMbrs="0" showDrill="0" useAutoFormatting="1" rowGrandTotals="0" colGrandTotals="0" itemPrintTitles="1" createdVersion="3" indent="0" outline="1" outlineData="1" multipleFieldFilters="0" chartFormat="6">
  <location ref="H60:I63" firstHeaderRow="1" firstDataRow="1" firstDataCol="1"/>
  <pivotFields count="24">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items count="5">
        <item x="0"/>
        <item x="2"/>
        <item x="3"/>
        <item x="1"/>
        <item t="default"/>
      </items>
    </pivotField>
    <pivotField showAll="0"/>
    <pivotField showAll="0"/>
    <pivotField showAll="0"/>
    <pivotField axis="axisRow" dataField="1" showAll="0">
      <items count="4">
        <item x="2"/>
        <item x="1"/>
        <item x="0"/>
        <item t="default"/>
      </items>
    </pivotField>
    <pivotField showAll="0"/>
    <pivotField showAll="0"/>
    <pivotField showAll="0"/>
    <pivotField showAll="0"/>
    <pivotField showAll="0"/>
  </pivotFields>
  <rowFields count="1">
    <field x="18"/>
  </rowFields>
  <rowItems count="3">
    <i>
      <x/>
    </i>
    <i>
      <x v="1"/>
    </i>
    <i>
      <x v="2"/>
    </i>
  </rowItems>
  <colItems count="1">
    <i/>
  </colItems>
  <dataFields count="1">
    <dataField name="No. of Investors" fld="18" subtotal="count" baseField="0" baseItem="0"/>
  </dataFields>
  <chartFormats count="1">
    <chartFormat chart="4" format="2" series="1">
      <pivotArea type="data" outline="0" fieldPosition="0">
        <references count="1">
          <reference field="4294967294" count="1" selected="0">
            <x v="0"/>
          </reference>
        </references>
      </pivotArea>
    </chartFormat>
  </chartFormats>
  <pivotTableStyleInfo name="PivotStyleMedium9" showRowHeaders="1" showColHeaders="1" showRowStripes="1"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EAA290D-FD5C-4484-871C-60A520879F54}" autoFormatId="16" applyNumberFormats="0" applyBorderFormats="0" applyFontFormats="0" applyPatternFormats="0" applyAlignmentFormats="0" applyWidthHeightFormats="0">
  <queryTableRefresh nextId="25">
    <queryTableFields count="24">
      <queryTableField id="1" name="gender" tableColumnId="1"/>
      <queryTableField id="2" name="age" tableColumnId="2"/>
      <queryTableField id="3" name="Investment_Avenues" tableColumnId="3"/>
      <queryTableField id="4" name="Mutual_Funds" tableColumnId="4"/>
      <queryTableField id="5" name="Equity_Market" tableColumnId="5"/>
      <queryTableField id="6" name="Debentures" tableColumnId="6"/>
      <queryTableField id="7" name="Government_Bonds" tableColumnId="7"/>
      <queryTableField id="8" name="Fixed_Deposits" tableColumnId="8"/>
      <queryTableField id="9" name="PPF" tableColumnId="9"/>
      <queryTableField id="10" name="Gold" tableColumnId="10"/>
      <queryTableField id="11" name="Stock_Marktet" tableColumnId="11"/>
      <queryTableField id="12" name="Factor" tableColumnId="12"/>
      <queryTableField id="13" name="Objective" tableColumnId="13"/>
      <queryTableField id="14" name="Purpose" tableColumnId="14"/>
      <queryTableField id="15" name="Duration" tableColumnId="15"/>
      <queryTableField id="16" name="Invest_Monitor" tableColumnId="16"/>
      <queryTableField id="17" name="Expect" tableColumnId="17"/>
      <queryTableField id="18" name="Avenue" tableColumnId="18"/>
      <queryTableField id="19" name="What are your savings objectives?" tableColumnId="19"/>
      <queryTableField id="20" name="Reason_Equity" tableColumnId="20"/>
      <queryTableField id="21" name="Reason_Mutual" tableColumnId="21"/>
      <queryTableField id="22" name="Reason_Bonds" tableColumnId="22"/>
      <queryTableField id="23" name="Reason_FD" tableColumnId="23"/>
      <queryTableField id="24" name="Source" tableColumnId="2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AF9C20AE-CA49-48B4-8938-D097EB649CBA}" sourceName="gender">
  <pivotTables>
    <pivotTable tabId="5" name="PT_Gender"/>
    <pivotTable tabId="5" name="PT_Avenue"/>
    <pivotTable tabId="5" name="PT_Duration"/>
    <pivotTable tabId="5" name="PT_Expect"/>
    <pivotTable tabId="5" name="PT_Factor"/>
    <pivotTable tabId="5" name="PT_Monitor"/>
    <pivotTable tabId="5" name="PT_Objective"/>
    <pivotTable tabId="5" name="PT_Savings"/>
  </pivotTables>
  <data>
    <tabular pivotCacheId="1523277240">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uration" xr10:uid="{0660B180-9404-46EB-AB66-07D37E3A1283}" sourceName="Duration">
  <pivotTables>
    <pivotTable tabId="5" name="PT_Gender"/>
    <pivotTable tabId="5" name="PT_Avenue"/>
    <pivotTable tabId="5" name="PT_Duration"/>
    <pivotTable tabId="5" name="PT_Expect"/>
    <pivotTable tabId="5" name="PT_Factor"/>
    <pivotTable tabId="5" name="PT_Monitor"/>
    <pivotTable tabId="5" name="PT_Objective"/>
    <pivotTable tabId="5" name="PT_Savings"/>
  </pivotTables>
  <data>
    <tabular pivotCacheId="1523277240">
      <items count="4">
        <i x="0" s="1"/>
        <i x="2" s="1"/>
        <i x="3"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bjective" xr10:uid="{CACF203A-3F3C-466F-9BDA-811D79C27102}" sourceName="Objective">
  <pivotTables>
    <pivotTable tabId="5" name="PT_Gender"/>
    <pivotTable tabId="5" name="PT_Avenue"/>
    <pivotTable tabId="5" name="PT_Duration"/>
    <pivotTable tabId="5" name="PT_Expect"/>
    <pivotTable tabId="5" name="PT_Factor"/>
    <pivotTable tabId="5" name="PT_Monitor"/>
    <pivotTable tabId="5" name="PT_Objective"/>
    <pivotTable tabId="5" name="PT_Savings"/>
  </pivotTables>
  <data>
    <tabular pivotCacheId="1523277240">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78E6DE65-67AD-42C3-9EE8-E3FCAFE02463}" cache="Slicer_gender" caption="gender" columnCount="2" style="SlicerStyleLight1 2" rowHeight="251883"/>
  <slicer name="Duration" xr10:uid="{4E534F65-97AC-4A61-B688-782C47FCA89D}" cache="Slicer_Duration" caption="Duration" style="SlicerStyleLight1 2" rowHeight="251883"/>
  <slicer name="Objective" xr10:uid="{5FD236CB-D8C8-4294-8BC6-8D6920C3CD3A}" cache="Slicer_Objective" caption="Objective" style="SlicerStyleLight1 2" rowHeight="251883"/>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1697792-0DF7-485F-A296-9364768D40EB}" name="Finance_data" displayName="Finance_data" ref="A1:X41" tableType="queryTable" totalsRowShown="0">
  <autoFilter ref="A1:X41" xr:uid="{D1697792-0DF7-485F-A296-9364768D40EB}"/>
  <tableColumns count="24">
    <tableColumn id="1" xr3:uid="{805B78D4-E2C5-4F77-8F9C-7176BC0F78BD}" uniqueName="1" name="gender" queryTableFieldId="1" dataDxfId="17"/>
    <tableColumn id="2" xr3:uid="{B8F834E6-E0CF-4C6F-8AF7-F8BE23BC198A}" uniqueName="2" name="age" queryTableFieldId="2"/>
    <tableColumn id="3" xr3:uid="{077A0C9A-A0AD-4263-9E72-EB8E0CF06BBB}" uniqueName="3" name="Investment_Avenues" queryTableFieldId="3" dataDxfId="16"/>
    <tableColumn id="4" xr3:uid="{5423B161-FC5D-4824-A555-B5AAD6CC5124}" uniqueName="4" name="Mutual_Funds" queryTableFieldId="4"/>
    <tableColumn id="5" xr3:uid="{547DCE88-292B-493D-B396-7FC728B11FE2}" uniqueName="5" name="Equity_Market" queryTableFieldId="5"/>
    <tableColumn id="6" xr3:uid="{773E20E7-8464-4FDA-9F5A-1B4D0DDB37D0}" uniqueName="6" name="Debentures" queryTableFieldId="6"/>
    <tableColumn id="7" xr3:uid="{25D535CC-1996-46DC-BD0D-BD85F6672BBA}" uniqueName="7" name="Government_Bonds" queryTableFieldId="7"/>
    <tableColumn id="8" xr3:uid="{93FDD18E-98CB-4FAD-8915-BF9C6139F3C8}" uniqueName="8" name="Fixed_Deposits" queryTableFieldId="8"/>
    <tableColumn id="9" xr3:uid="{EB60BD88-28A7-4654-9A8E-6EAA5B03A042}" uniqueName="9" name="PPF" queryTableFieldId="9"/>
    <tableColumn id="10" xr3:uid="{FC67EABD-ABBD-4FF2-9707-4C975F371D68}" uniqueName="10" name="Gold" queryTableFieldId="10"/>
    <tableColumn id="11" xr3:uid="{FD6544B9-1E0E-490B-AFF5-ACDB91BF2FE6}" uniqueName="11" name="Stock_Marktet" queryTableFieldId="11" dataDxfId="15"/>
    <tableColumn id="12" xr3:uid="{E89718DD-213A-4551-825B-19473C7542A0}" uniqueName="12" name="Factor" queryTableFieldId="12" dataDxfId="14"/>
    <tableColumn id="13" xr3:uid="{A9CA2FE3-75E2-4962-9F11-43B05EF88DA3}" uniqueName="13" name="Objective" queryTableFieldId="13" dataDxfId="13"/>
    <tableColumn id="14" xr3:uid="{0F140F44-A1FF-4B32-949C-033207DC98D6}" uniqueName="14" name="Purpose" queryTableFieldId="14" dataDxfId="12"/>
    <tableColumn id="15" xr3:uid="{84C2930E-730A-437C-874D-0D3769D28EE8}" uniqueName="15" name="Duration" queryTableFieldId="15" dataDxfId="11"/>
    <tableColumn id="16" xr3:uid="{70C2A8A6-AEC5-45F9-B6B7-F054C3F14320}" uniqueName="16" name="Invest_Monitor" queryTableFieldId="16" dataDxfId="10"/>
    <tableColumn id="17" xr3:uid="{71AD65C8-285B-471D-9F8C-0B45C9658C8B}" uniqueName="17" name="Expect" queryTableFieldId="17" dataDxfId="9"/>
    <tableColumn id="18" xr3:uid="{3A2B86CE-113E-4FF9-8BB8-223D0D38B12F}" uniqueName="18" name="Avenue" queryTableFieldId="18" dataDxfId="8"/>
    <tableColumn id="19" xr3:uid="{AE55AB89-4BEE-4C33-9ABE-66650334198E}" uniqueName="19" name="What are your savings objectives?" queryTableFieldId="19" dataDxfId="7"/>
    <tableColumn id="20" xr3:uid="{C1923FB2-97BD-46E4-80F5-C790A7CEAB7F}" uniqueName="20" name="Reason_Equity" queryTableFieldId="20" dataDxfId="6"/>
    <tableColumn id="21" xr3:uid="{CBBFC748-4FCF-4237-A706-D08090D5D738}" uniqueName="21" name="Reason_Mutual" queryTableFieldId="21" dataDxfId="5"/>
    <tableColumn id="22" xr3:uid="{DE1677A4-3E14-4A9E-88B7-7C0F80EABF70}" uniqueName="22" name="Reason_Bonds" queryTableFieldId="22" dataDxfId="4"/>
    <tableColumn id="23" xr3:uid="{8F888EA0-33C5-4EE7-8C73-7F50D84142DA}" uniqueName="23" name="Reason_FD" queryTableFieldId="23" dataDxfId="3"/>
    <tableColumn id="24" xr3:uid="{85527D54-37A2-427C-A835-3B2360ED713B}" uniqueName="24" name="Source" queryTableFieldId="24" dataDxf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E8F91-54B6-4C11-9AA9-DC5C2B811E11}">
  <sheetPr codeName="Sheet1"/>
  <dimension ref="A1:X41"/>
  <sheetViews>
    <sheetView workbookViewId="0"/>
  </sheetViews>
  <sheetFormatPr defaultRowHeight="14.5" x14ac:dyDescent="0.35"/>
  <cols>
    <col min="1" max="1" width="8.81640625" bestFit="1" customWidth="1"/>
    <col min="2" max="2" width="6" bestFit="1" customWidth="1"/>
    <col min="3" max="3" width="20.6328125" bestFit="1" customWidth="1"/>
    <col min="4" max="5" width="14.90625" bestFit="1" customWidth="1"/>
    <col min="6" max="6" width="12.81640625" bestFit="1" customWidth="1"/>
    <col min="7" max="7" width="19.54296875" bestFit="1" customWidth="1"/>
    <col min="8" max="8" width="15.90625" bestFit="1" customWidth="1"/>
    <col min="9" max="9" width="6.26953125" bestFit="1" customWidth="1"/>
    <col min="10" max="10" width="7" bestFit="1" customWidth="1"/>
    <col min="11" max="11" width="15" bestFit="1" customWidth="1"/>
    <col min="12" max="12" width="12.54296875" bestFit="1" customWidth="1"/>
    <col min="13" max="13" width="17.453125" bestFit="1" customWidth="1"/>
    <col min="14" max="14" width="15.1796875" bestFit="1" customWidth="1"/>
    <col min="15" max="15" width="15.08984375" bestFit="1" customWidth="1"/>
    <col min="16" max="16" width="15.453125" bestFit="1" customWidth="1"/>
    <col min="18" max="18" width="18.36328125" bestFit="1" customWidth="1"/>
    <col min="19" max="19" width="31.36328125" bestFit="1" customWidth="1"/>
    <col min="20" max="20" width="17.453125" bestFit="1" customWidth="1"/>
    <col min="21" max="21" width="17" bestFit="1" customWidth="1"/>
    <col min="22" max="22" width="15.36328125" bestFit="1" customWidth="1"/>
    <col min="23" max="23" width="16.1796875" bestFit="1" customWidth="1"/>
    <col min="24" max="24" width="23.36328125" bestFit="1" customWidth="1"/>
  </cols>
  <sheetData>
    <row r="1" spans="1:24"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row>
    <row r="2" spans="1:24" x14ac:dyDescent="0.35">
      <c r="A2" s="1" t="s">
        <v>24</v>
      </c>
      <c r="B2">
        <v>34</v>
      </c>
      <c r="C2" s="1" t="s">
        <v>25</v>
      </c>
      <c r="D2">
        <v>1</v>
      </c>
      <c r="E2">
        <v>2</v>
      </c>
      <c r="F2">
        <v>5</v>
      </c>
      <c r="G2">
        <v>3</v>
      </c>
      <c r="H2">
        <v>7</v>
      </c>
      <c r="I2">
        <v>6</v>
      </c>
      <c r="J2">
        <v>4</v>
      </c>
      <c r="K2" s="1" t="s">
        <v>25</v>
      </c>
      <c r="L2" s="1" t="s">
        <v>26</v>
      </c>
      <c r="M2" s="1" t="s">
        <v>27</v>
      </c>
      <c r="N2" s="1" t="s">
        <v>28</v>
      </c>
      <c r="O2" s="1" t="s">
        <v>29</v>
      </c>
      <c r="P2" s="1" t="s">
        <v>30</v>
      </c>
      <c r="Q2" s="1" t="s">
        <v>31</v>
      </c>
      <c r="R2" s="1" t="s">
        <v>32</v>
      </c>
      <c r="S2" s="1" t="s">
        <v>33</v>
      </c>
      <c r="T2" s="1" t="s">
        <v>27</v>
      </c>
      <c r="U2" s="1" t="s">
        <v>34</v>
      </c>
      <c r="V2" s="1" t="s">
        <v>35</v>
      </c>
      <c r="W2" s="1" t="s">
        <v>36</v>
      </c>
      <c r="X2" s="1" t="s">
        <v>37</v>
      </c>
    </row>
    <row r="3" spans="1:24" x14ac:dyDescent="0.35">
      <c r="A3" s="1" t="s">
        <v>24</v>
      </c>
      <c r="B3">
        <v>23</v>
      </c>
      <c r="C3" s="1" t="s">
        <v>25</v>
      </c>
      <c r="D3">
        <v>4</v>
      </c>
      <c r="E3">
        <v>3</v>
      </c>
      <c r="F3">
        <v>2</v>
      </c>
      <c r="G3">
        <v>1</v>
      </c>
      <c r="H3">
        <v>5</v>
      </c>
      <c r="I3">
        <v>6</v>
      </c>
      <c r="J3">
        <v>7</v>
      </c>
      <c r="K3" s="1" t="s">
        <v>38</v>
      </c>
      <c r="L3" s="1" t="s">
        <v>39</v>
      </c>
      <c r="M3" s="1" t="s">
        <v>27</v>
      </c>
      <c r="N3" s="1" t="s">
        <v>28</v>
      </c>
      <c r="O3" s="1" t="s">
        <v>40</v>
      </c>
      <c r="P3" s="1" t="s">
        <v>41</v>
      </c>
      <c r="Q3" s="1" t="s">
        <v>31</v>
      </c>
      <c r="R3" s="1" t="s">
        <v>32</v>
      </c>
      <c r="S3" s="1" t="s">
        <v>42</v>
      </c>
      <c r="T3" s="1" t="s">
        <v>43</v>
      </c>
      <c r="U3" s="1" t="s">
        <v>34</v>
      </c>
      <c r="V3" s="1" t="s">
        <v>35</v>
      </c>
      <c r="W3" s="1" t="s">
        <v>44</v>
      </c>
      <c r="X3" s="1" t="s">
        <v>45</v>
      </c>
    </row>
    <row r="4" spans="1:24" x14ac:dyDescent="0.35">
      <c r="A4" s="1" t="s">
        <v>46</v>
      </c>
      <c r="B4">
        <v>30</v>
      </c>
      <c r="C4" s="1" t="s">
        <v>25</v>
      </c>
      <c r="D4">
        <v>3</v>
      </c>
      <c r="E4">
        <v>6</v>
      </c>
      <c r="F4">
        <v>4</v>
      </c>
      <c r="G4">
        <v>2</v>
      </c>
      <c r="H4">
        <v>5</v>
      </c>
      <c r="I4">
        <v>1</v>
      </c>
      <c r="J4">
        <v>7</v>
      </c>
      <c r="K4" s="1" t="s">
        <v>25</v>
      </c>
      <c r="L4" s="1" t="s">
        <v>26</v>
      </c>
      <c r="M4" s="1" t="s">
        <v>27</v>
      </c>
      <c r="N4" s="1" t="s">
        <v>28</v>
      </c>
      <c r="O4" s="1" t="s">
        <v>47</v>
      </c>
      <c r="P4" s="1" t="s">
        <v>48</v>
      </c>
      <c r="Q4" s="1" t="s">
        <v>31</v>
      </c>
      <c r="R4" s="1" t="s">
        <v>49</v>
      </c>
      <c r="S4" s="1" t="s">
        <v>33</v>
      </c>
      <c r="T4" s="1" t="s">
        <v>27</v>
      </c>
      <c r="U4" s="1" t="s">
        <v>50</v>
      </c>
      <c r="V4" s="1" t="s">
        <v>51</v>
      </c>
      <c r="W4" s="1" t="s">
        <v>36</v>
      </c>
      <c r="X4" s="1" t="s">
        <v>52</v>
      </c>
    </row>
    <row r="5" spans="1:24" x14ac:dyDescent="0.35">
      <c r="A5" s="1" t="s">
        <v>46</v>
      </c>
      <c r="B5">
        <v>22</v>
      </c>
      <c r="C5" s="1" t="s">
        <v>25</v>
      </c>
      <c r="D5">
        <v>2</v>
      </c>
      <c r="E5">
        <v>1</v>
      </c>
      <c r="F5">
        <v>3</v>
      </c>
      <c r="G5">
        <v>7</v>
      </c>
      <c r="H5">
        <v>6</v>
      </c>
      <c r="I5">
        <v>4</v>
      </c>
      <c r="J5">
        <v>5</v>
      </c>
      <c r="K5" s="1" t="s">
        <v>25</v>
      </c>
      <c r="L5" s="1" t="s">
        <v>26</v>
      </c>
      <c r="M5" s="1" t="s">
        <v>53</v>
      </c>
      <c r="N5" s="1" t="s">
        <v>28</v>
      </c>
      <c r="O5" s="1" t="s">
        <v>54</v>
      </c>
      <c r="P5" s="1" t="s">
        <v>48</v>
      </c>
      <c r="Q5" s="1" t="s">
        <v>55</v>
      </c>
      <c r="R5" s="1" t="s">
        <v>49</v>
      </c>
      <c r="S5" s="1" t="s">
        <v>33</v>
      </c>
      <c r="T5" s="1" t="s">
        <v>43</v>
      </c>
      <c r="U5" s="1" t="s">
        <v>56</v>
      </c>
      <c r="V5" s="1" t="s">
        <v>57</v>
      </c>
      <c r="W5" s="1" t="s">
        <v>44</v>
      </c>
      <c r="X5" s="1" t="s">
        <v>58</v>
      </c>
    </row>
    <row r="6" spans="1:24" x14ac:dyDescent="0.35">
      <c r="A6" s="1" t="s">
        <v>24</v>
      </c>
      <c r="B6">
        <v>24</v>
      </c>
      <c r="C6" s="1" t="s">
        <v>38</v>
      </c>
      <c r="D6">
        <v>2</v>
      </c>
      <c r="E6">
        <v>1</v>
      </c>
      <c r="F6">
        <v>3</v>
      </c>
      <c r="G6">
        <v>6</v>
      </c>
      <c r="H6">
        <v>4</v>
      </c>
      <c r="I6">
        <v>5</v>
      </c>
      <c r="J6">
        <v>7</v>
      </c>
      <c r="K6" s="1" t="s">
        <v>38</v>
      </c>
      <c r="L6" s="1" t="s">
        <v>26</v>
      </c>
      <c r="M6" s="1" t="s">
        <v>53</v>
      </c>
      <c r="N6" s="1" t="s">
        <v>28</v>
      </c>
      <c r="O6" s="1" t="s">
        <v>54</v>
      </c>
      <c r="P6" s="1" t="s">
        <v>48</v>
      </c>
      <c r="Q6" s="1" t="s">
        <v>31</v>
      </c>
      <c r="R6" s="1" t="s">
        <v>49</v>
      </c>
      <c r="S6" s="1" t="s">
        <v>33</v>
      </c>
      <c r="T6" s="1" t="s">
        <v>27</v>
      </c>
      <c r="U6" s="1" t="s">
        <v>34</v>
      </c>
      <c r="V6" s="1" t="s">
        <v>35</v>
      </c>
      <c r="W6" s="1" t="s">
        <v>59</v>
      </c>
      <c r="X6" s="1" t="s">
        <v>58</v>
      </c>
    </row>
    <row r="7" spans="1:24" x14ac:dyDescent="0.35">
      <c r="A7" s="1" t="s">
        <v>24</v>
      </c>
      <c r="B7">
        <v>24</v>
      </c>
      <c r="C7" s="1" t="s">
        <v>38</v>
      </c>
      <c r="D7">
        <v>7</v>
      </c>
      <c r="E7">
        <v>5</v>
      </c>
      <c r="F7">
        <v>4</v>
      </c>
      <c r="G7">
        <v>6</v>
      </c>
      <c r="H7">
        <v>3</v>
      </c>
      <c r="I7">
        <v>1</v>
      </c>
      <c r="J7">
        <v>2</v>
      </c>
      <c r="K7" s="1" t="s">
        <v>38</v>
      </c>
      <c r="L7" s="1" t="s">
        <v>60</v>
      </c>
      <c r="M7" s="1" t="s">
        <v>27</v>
      </c>
      <c r="N7" s="1" t="s">
        <v>28</v>
      </c>
      <c r="O7" s="1" t="s">
        <v>29</v>
      </c>
      <c r="P7" s="1" t="s">
        <v>48</v>
      </c>
      <c r="Q7" s="1" t="s">
        <v>61</v>
      </c>
      <c r="R7" s="1" t="s">
        <v>32</v>
      </c>
      <c r="S7" s="1" t="s">
        <v>33</v>
      </c>
      <c r="T7" s="1" t="s">
        <v>62</v>
      </c>
      <c r="U7" s="1" t="s">
        <v>56</v>
      </c>
      <c r="V7" s="1" t="s">
        <v>35</v>
      </c>
      <c r="W7" s="1" t="s">
        <v>59</v>
      </c>
      <c r="X7" s="1" t="s">
        <v>58</v>
      </c>
    </row>
    <row r="8" spans="1:24" x14ac:dyDescent="0.35">
      <c r="A8" s="1" t="s">
        <v>24</v>
      </c>
      <c r="B8">
        <v>27</v>
      </c>
      <c r="C8" s="1" t="s">
        <v>25</v>
      </c>
      <c r="D8">
        <v>3</v>
      </c>
      <c r="E8">
        <v>6</v>
      </c>
      <c r="F8">
        <v>4</v>
      </c>
      <c r="G8">
        <v>2</v>
      </c>
      <c r="H8">
        <v>5</v>
      </c>
      <c r="I8">
        <v>1</v>
      </c>
      <c r="J8">
        <v>7</v>
      </c>
      <c r="K8" s="1" t="s">
        <v>25</v>
      </c>
      <c r="L8" s="1" t="s">
        <v>26</v>
      </c>
      <c r="M8" s="1" t="s">
        <v>27</v>
      </c>
      <c r="N8" s="1" t="s">
        <v>28</v>
      </c>
      <c r="O8" s="1" t="s">
        <v>47</v>
      </c>
      <c r="P8" s="1" t="s">
        <v>30</v>
      </c>
      <c r="Q8" s="1" t="s">
        <v>31</v>
      </c>
      <c r="R8" s="1" t="s">
        <v>49</v>
      </c>
      <c r="S8" s="1" t="s">
        <v>33</v>
      </c>
      <c r="T8" s="1" t="s">
        <v>27</v>
      </c>
      <c r="U8" s="1" t="s">
        <v>34</v>
      </c>
      <c r="V8" s="1" t="s">
        <v>51</v>
      </c>
      <c r="W8" s="1" t="s">
        <v>44</v>
      </c>
      <c r="X8" s="1" t="s">
        <v>45</v>
      </c>
    </row>
    <row r="9" spans="1:24" x14ac:dyDescent="0.35">
      <c r="A9" s="1" t="s">
        <v>46</v>
      </c>
      <c r="B9">
        <v>21</v>
      </c>
      <c r="C9" s="1" t="s">
        <v>25</v>
      </c>
      <c r="D9">
        <v>2</v>
      </c>
      <c r="E9">
        <v>3</v>
      </c>
      <c r="F9">
        <v>7</v>
      </c>
      <c r="G9">
        <v>4</v>
      </c>
      <c r="H9">
        <v>6</v>
      </c>
      <c r="I9">
        <v>1</v>
      </c>
      <c r="J9">
        <v>5</v>
      </c>
      <c r="K9" s="1" t="s">
        <v>25</v>
      </c>
      <c r="L9" s="1" t="s">
        <v>60</v>
      </c>
      <c r="M9" s="1" t="s">
        <v>27</v>
      </c>
      <c r="N9" s="1" t="s">
        <v>28</v>
      </c>
      <c r="O9" s="1" t="s">
        <v>47</v>
      </c>
      <c r="P9" s="1" t="s">
        <v>30</v>
      </c>
      <c r="Q9" s="1" t="s">
        <v>31</v>
      </c>
      <c r="R9" s="1" t="s">
        <v>32</v>
      </c>
      <c r="S9" s="1" t="s">
        <v>33</v>
      </c>
      <c r="T9" s="1" t="s">
        <v>27</v>
      </c>
      <c r="U9" s="1" t="s">
        <v>34</v>
      </c>
      <c r="V9" s="1" t="s">
        <v>51</v>
      </c>
      <c r="W9" s="1" t="s">
        <v>59</v>
      </c>
      <c r="X9" s="1" t="s">
        <v>37</v>
      </c>
    </row>
    <row r="10" spans="1:24" x14ac:dyDescent="0.35">
      <c r="A10" s="1" t="s">
        <v>46</v>
      </c>
      <c r="B10">
        <v>35</v>
      </c>
      <c r="C10" s="1" t="s">
        <v>25</v>
      </c>
      <c r="D10">
        <v>2</v>
      </c>
      <c r="E10">
        <v>4</v>
      </c>
      <c r="F10">
        <v>7</v>
      </c>
      <c r="G10">
        <v>5</v>
      </c>
      <c r="H10">
        <v>3</v>
      </c>
      <c r="I10">
        <v>1</v>
      </c>
      <c r="J10">
        <v>6</v>
      </c>
      <c r="K10" s="1" t="s">
        <v>25</v>
      </c>
      <c r="L10" s="1" t="s">
        <v>26</v>
      </c>
      <c r="M10" s="1" t="s">
        <v>63</v>
      </c>
      <c r="N10" s="1" t="s">
        <v>64</v>
      </c>
      <c r="O10" s="1" t="s">
        <v>29</v>
      </c>
      <c r="P10" s="1" t="s">
        <v>41</v>
      </c>
      <c r="Q10" s="1" t="s">
        <v>31</v>
      </c>
      <c r="R10" s="1" t="s">
        <v>49</v>
      </c>
      <c r="S10" s="1" t="s">
        <v>33</v>
      </c>
      <c r="T10" s="1" t="s">
        <v>27</v>
      </c>
      <c r="U10" s="1" t="s">
        <v>56</v>
      </c>
      <c r="V10" s="1" t="s">
        <v>35</v>
      </c>
      <c r="W10" s="1" t="s">
        <v>36</v>
      </c>
      <c r="X10" s="1" t="s">
        <v>52</v>
      </c>
    </row>
    <row r="11" spans="1:24" x14ac:dyDescent="0.35">
      <c r="A11" s="1" t="s">
        <v>46</v>
      </c>
      <c r="B11">
        <v>31</v>
      </c>
      <c r="C11" s="1" t="s">
        <v>25</v>
      </c>
      <c r="D11">
        <v>1</v>
      </c>
      <c r="E11">
        <v>3</v>
      </c>
      <c r="F11">
        <v>7</v>
      </c>
      <c r="G11">
        <v>4</v>
      </c>
      <c r="H11">
        <v>5</v>
      </c>
      <c r="I11">
        <v>2</v>
      </c>
      <c r="J11">
        <v>6</v>
      </c>
      <c r="K11" s="1" t="s">
        <v>25</v>
      </c>
      <c r="L11" s="1" t="s">
        <v>26</v>
      </c>
      <c r="M11" s="1" t="s">
        <v>27</v>
      </c>
      <c r="N11" s="1" t="s">
        <v>28</v>
      </c>
      <c r="O11" s="1" t="s">
        <v>47</v>
      </c>
      <c r="P11" s="1" t="s">
        <v>30</v>
      </c>
      <c r="Q11" s="1" t="s">
        <v>61</v>
      </c>
      <c r="R11" s="1" t="s">
        <v>65</v>
      </c>
      <c r="S11" s="1" t="s">
        <v>33</v>
      </c>
      <c r="T11" s="1" t="s">
        <v>27</v>
      </c>
      <c r="U11" s="1" t="s">
        <v>56</v>
      </c>
      <c r="V11" s="1" t="s">
        <v>51</v>
      </c>
      <c r="W11" s="1" t="s">
        <v>36</v>
      </c>
      <c r="X11" s="1" t="s">
        <v>37</v>
      </c>
    </row>
    <row r="12" spans="1:24" x14ac:dyDescent="0.35">
      <c r="A12" s="1" t="s">
        <v>24</v>
      </c>
      <c r="B12">
        <v>35</v>
      </c>
      <c r="C12" s="1" t="s">
        <v>25</v>
      </c>
      <c r="D12">
        <v>2</v>
      </c>
      <c r="E12">
        <v>4</v>
      </c>
      <c r="F12">
        <v>7</v>
      </c>
      <c r="G12">
        <v>5</v>
      </c>
      <c r="H12">
        <v>3</v>
      </c>
      <c r="I12">
        <v>1</v>
      </c>
      <c r="J12">
        <v>6</v>
      </c>
      <c r="K12" s="1" t="s">
        <v>25</v>
      </c>
      <c r="L12" s="1" t="s">
        <v>60</v>
      </c>
      <c r="M12" s="1" t="s">
        <v>63</v>
      </c>
      <c r="N12" s="1" t="s">
        <v>64</v>
      </c>
      <c r="O12" s="1" t="s">
        <v>47</v>
      </c>
      <c r="P12" s="1" t="s">
        <v>30</v>
      </c>
      <c r="Q12" s="1" t="s">
        <v>31</v>
      </c>
      <c r="R12" s="1" t="s">
        <v>32</v>
      </c>
      <c r="S12" s="1" t="s">
        <v>33</v>
      </c>
      <c r="T12" s="1" t="s">
        <v>27</v>
      </c>
      <c r="U12" s="1" t="s">
        <v>34</v>
      </c>
      <c r="V12" s="1" t="s">
        <v>51</v>
      </c>
      <c r="W12" s="1" t="s">
        <v>59</v>
      </c>
      <c r="X12" s="1" t="s">
        <v>45</v>
      </c>
    </row>
    <row r="13" spans="1:24" x14ac:dyDescent="0.35">
      <c r="A13" s="1" t="s">
        <v>46</v>
      </c>
      <c r="B13">
        <v>29</v>
      </c>
      <c r="C13" s="1" t="s">
        <v>25</v>
      </c>
      <c r="D13">
        <v>2</v>
      </c>
      <c r="E13">
        <v>5</v>
      </c>
      <c r="F13">
        <v>7</v>
      </c>
      <c r="G13">
        <v>6</v>
      </c>
      <c r="H13">
        <v>3</v>
      </c>
      <c r="I13">
        <v>1</v>
      </c>
      <c r="J13">
        <v>4</v>
      </c>
      <c r="K13" s="1" t="s">
        <v>25</v>
      </c>
      <c r="L13" s="1" t="s">
        <v>60</v>
      </c>
      <c r="M13" s="1" t="s">
        <v>27</v>
      </c>
      <c r="N13" s="1" t="s">
        <v>28</v>
      </c>
      <c r="O13" s="1" t="s">
        <v>29</v>
      </c>
      <c r="P13" s="1" t="s">
        <v>30</v>
      </c>
      <c r="Q13" s="1" t="s">
        <v>31</v>
      </c>
      <c r="R13" s="1" t="s">
        <v>32</v>
      </c>
      <c r="S13" s="1" t="s">
        <v>33</v>
      </c>
      <c r="T13" s="1" t="s">
        <v>27</v>
      </c>
      <c r="U13" s="1" t="s">
        <v>56</v>
      </c>
      <c r="V13" s="1" t="s">
        <v>51</v>
      </c>
      <c r="W13" s="1" t="s">
        <v>36</v>
      </c>
      <c r="X13" s="1" t="s">
        <v>45</v>
      </c>
    </row>
    <row r="14" spans="1:24" x14ac:dyDescent="0.35">
      <c r="A14" s="1" t="s">
        <v>24</v>
      </c>
      <c r="B14">
        <v>21</v>
      </c>
      <c r="C14" s="1" t="s">
        <v>38</v>
      </c>
      <c r="D14">
        <v>1</v>
      </c>
      <c r="E14">
        <v>2</v>
      </c>
      <c r="F14">
        <v>3</v>
      </c>
      <c r="G14">
        <v>4</v>
      </c>
      <c r="H14">
        <v>5</v>
      </c>
      <c r="I14">
        <v>6</v>
      </c>
      <c r="J14">
        <v>7</v>
      </c>
      <c r="K14" s="1" t="s">
        <v>38</v>
      </c>
      <c r="L14" s="1" t="s">
        <v>26</v>
      </c>
      <c r="M14" s="1" t="s">
        <v>27</v>
      </c>
      <c r="N14" s="1" t="s">
        <v>64</v>
      </c>
      <c r="O14" s="1" t="s">
        <v>29</v>
      </c>
      <c r="P14" s="1" t="s">
        <v>41</v>
      </c>
      <c r="Q14" s="1" t="s">
        <v>31</v>
      </c>
      <c r="R14" s="1" t="s">
        <v>32</v>
      </c>
      <c r="S14" s="1" t="s">
        <v>66</v>
      </c>
      <c r="T14" s="1" t="s">
        <v>43</v>
      </c>
      <c r="U14" s="1" t="s">
        <v>34</v>
      </c>
      <c r="V14" s="1" t="s">
        <v>35</v>
      </c>
      <c r="W14" s="1" t="s">
        <v>59</v>
      </c>
      <c r="X14" s="1" t="s">
        <v>58</v>
      </c>
    </row>
    <row r="15" spans="1:24" x14ac:dyDescent="0.35">
      <c r="A15" s="1" t="s">
        <v>24</v>
      </c>
      <c r="B15">
        <v>28</v>
      </c>
      <c r="C15" s="1" t="s">
        <v>25</v>
      </c>
      <c r="D15">
        <v>2</v>
      </c>
      <c r="E15">
        <v>3</v>
      </c>
      <c r="F15">
        <v>7</v>
      </c>
      <c r="G15">
        <v>4</v>
      </c>
      <c r="H15">
        <v>5</v>
      </c>
      <c r="I15">
        <v>1</v>
      </c>
      <c r="J15">
        <v>6</v>
      </c>
      <c r="K15" s="1" t="s">
        <v>25</v>
      </c>
      <c r="L15" s="1" t="s">
        <v>26</v>
      </c>
      <c r="M15" s="1" t="s">
        <v>27</v>
      </c>
      <c r="N15" s="1" t="s">
        <v>28</v>
      </c>
      <c r="O15" s="1" t="s">
        <v>29</v>
      </c>
      <c r="P15" s="1" t="s">
        <v>30</v>
      </c>
      <c r="Q15" s="1" t="s">
        <v>31</v>
      </c>
      <c r="R15" s="1" t="s">
        <v>32</v>
      </c>
      <c r="S15" s="1" t="s">
        <v>33</v>
      </c>
      <c r="T15" s="1" t="s">
        <v>27</v>
      </c>
      <c r="U15" s="1" t="s">
        <v>56</v>
      </c>
      <c r="V15" s="1" t="s">
        <v>51</v>
      </c>
      <c r="W15" s="1" t="s">
        <v>59</v>
      </c>
      <c r="X15" s="1" t="s">
        <v>37</v>
      </c>
    </row>
    <row r="16" spans="1:24" x14ac:dyDescent="0.35">
      <c r="A16" s="1" t="s">
        <v>24</v>
      </c>
      <c r="B16">
        <v>25</v>
      </c>
      <c r="C16" s="1" t="s">
        <v>25</v>
      </c>
      <c r="D16">
        <v>2</v>
      </c>
      <c r="E16">
        <v>3</v>
      </c>
      <c r="F16">
        <v>7</v>
      </c>
      <c r="G16">
        <v>5</v>
      </c>
      <c r="H16">
        <v>4</v>
      </c>
      <c r="I16">
        <v>1</v>
      </c>
      <c r="J16">
        <v>6</v>
      </c>
      <c r="K16" s="1" t="s">
        <v>25</v>
      </c>
      <c r="L16" s="1" t="s">
        <v>26</v>
      </c>
      <c r="M16" s="1" t="s">
        <v>27</v>
      </c>
      <c r="N16" s="1" t="s">
        <v>28</v>
      </c>
      <c r="O16" s="1" t="s">
        <v>29</v>
      </c>
      <c r="P16" s="1" t="s">
        <v>30</v>
      </c>
      <c r="Q16" s="1" t="s">
        <v>31</v>
      </c>
      <c r="R16" s="1" t="s">
        <v>65</v>
      </c>
      <c r="S16" s="1" t="s">
        <v>42</v>
      </c>
      <c r="T16" s="1" t="s">
        <v>43</v>
      </c>
      <c r="U16" s="1" t="s">
        <v>34</v>
      </c>
      <c r="V16" s="1" t="s">
        <v>51</v>
      </c>
      <c r="W16" s="1" t="s">
        <v>59</v>
      </c>
      <c r="X16" s="1" t="s">
        <v>45</v>
      </c>
    </row>
    <row r="17" spans="1:24" x14ac:dyDescent="0.35">
      <c r="A17" s="1" t="s">
        <v>46</v>
      </c>
      <c r="B17">
        <v>27</v>
      </c>
      <c r="C17" s="1" t="s">
        <v>25</v>
      </c>
      <c r="D17">
        <v>2</v>
      </c>
      <c r="E17">
        <v>3</v>
      </c>
      <c r="F17">
        <v>7</v>
      </c>
      <c r="G17">
        <v>5</v>
      </c>
      <c r="H17">
        <v>4</v>
      </c>
      <c r="I17">
        <v>1</v>
      </c>
      <c r="J17">
        <v>6</v>
      </c>
      <c r="K17" s="1" t="s">
        <v>25</v>
      </c>
      <c r="L17" s="1" t="s">
        <v>26</v>
      </c>
      <c r="M17" s="1" t="s">
        <v>27</v>
      </c>
      <c r="N17" s="1" t="s">
        <v>28</v>
      </c>
      <c r="O17" s="1" t="s">
        <v>29</v>
      </c>
      <c r="P17" s="1" t="s">
        <v>30</v>
      </c>
      <c r="Q17" s="1" t="s">
        <v>31</v>
      </c>
      <c r="R17" s="1" t="s">
        <v>32</v>
      </c>
      <c r="S17" s="1" t="s">
        <v>42</v>
      </c>
      <c r="T17" s="1" t="s">
        <v>27</v>
      </c>
      <c r="U17" s="1" t="s">
        <v>56</v>
      </c>
      <c r="V17" s="1" t="s">
        <v>51</v>
      </c>
      <c r="W17" s="1" t="s">
        <v>59</v>
      </c>
      <c r="X17" s="1" t="s">
        <v>37</v>
      </c>
    </row>
    <row r="18" spans="1:24" x14ac:dyDescent="0.35">
      <c r="A18" s="1" t="s">
        <v>24</v>
      </c>
      <c r="B18">
        <v>28</v>
      </c>
      <c r="C18" s="1" t="s">
        <v>25</v>
      </c>
      <c r="D18">
        <v>3</v>
      </c>
      <c r="E18">
        <v>2</v>
      </c>
      <c r="F18">
        <v>7</v>
      </c>
      <c r="G18">
        <v>5</v>
      </c>
      <c r="H18">
        <v>4</v>
      </c>
      <c r="I18">
        <v>1</v>
      </c>
      <c r="J18">
        <v>6</v>
      </c>
      <c r="K18" s="1" t="s">
        <v>25</v>
      </c>
      <c r="L18" s="1" t="s">
        <v>60</v>
      </c>
      <c r="M18" s="1" t="s">
        <v>63</v>
      </c>
      <c r="N18" s="1" t="s">
        <v>28</v>
      </c>
      <c r="O18" s="1" t="s">
        <v>29</v>
      </c>
      <c r="P18" s="1" t="s">
        <v>30</v>
      </c>
      <c r="Q18" s="1" t="s">
        <v>31</v>
      </c>
      <c r="R18" s="1" t="s">
        <v>65</v>
      </c>
      <c r="S18" s="1" t="s">
        <v>42</v>
      </c>
      <c r="T18" s="1" t="s">
        <v>27</v>
      </c>
      <c r="U18" s="1" t="s">
        <v>56</v>
      </c>
      <c r="V18" s="1" t="s">
        <v>51</v>
      </c>
      <c r="W18" s="1" t="s">
        <v>59</v>
      </c>
      <c r="X18" s="1" t="s">
        <v>52</v>
      </c>
    </row>
    <row r="19" spans="1:24" x14ac:dyDescent="0.35">
      <c r="A19" s="1" t="s">
        <v>46</v>
      </c>
      <c r="B19">
        <v>27</v>
      </c>
      <c r="C19" s="1" t="s">
        <v>25</v>
      </c>
      <c r="D19">
        <v>3</v>
      </c>
      <c r="E19">
        <v>2</v>
      </c>
      <c r="F19">
        <v>7</v>
      </c>
      <c r="G19">
        <v>4</v>
      </c>
      <c r="H19">
        <v>5</v>
      </c>
      <c r="I19">
        <v>1</v>
      </c>
      <c r="J19">
        <v>6</v>
      </c>
      <c r="K19" s="1" t="s">
        <v>25</v>
      </c>
      <c r="L19" s="1" t="s">
        <v>26</v>
      </c>
      <c r="M19" s="1" t="s">
        <v>27</v>
      </c>
      <c r="N19" s="1" t="s">
        <v>28</v>
      </c>
      <c r="O19" s="1" t="s">
        <v>29</v>
      </c>
      <c r="P19" s="1" t="s">
        <v>30</v>
      </c>
      <c r="Q19" s="1" t="s">
        <v>31</v>
      </c>
      <c r="R19" s="1" t="s">
        <v>32</v>
      </c>
      <c r="S19" s="1" t="s">
        <v>33</v>
      </c>
      <c r="T19" s="1" t="s">
        <v>27</v>
      </c>
      <c r="U19" s="1" t="s">
        <v>34</v>
      </c>
      <c r="V19" s="1" t="s">
        <v>51</v>
      </c>
      <c r="W19" s="1" t="s">
        <v>59</v>
      </c>
      <c r="X19" s="1" t="s">
        <v>45</v>
      </c>
    </row>
    <row r="20" spans="1:24" x14ac:dyDescent="0.35">
      <c r="A20" s="1" t="s">
        <v>46</v>
      </c>
      <c r="B20">
        <v>29</v>
      </c>
      <c r="C20" s="1" t="s">
        <v>25</v>
      </c>
      <c r="D20">
        <v>3</v>
      </c>
      <c r="E20">
        <v>2</v>
      </c>
      <c r="F20">
        <v>7</v>
      </c>
      <c r="G20">
        <v>4</v>
      </c>
      <c r="H20">
        <v>5</v>
      </c>
      <c r="I20">
        <v>1</v>
      </c>
      <c r="J20">
        <v>6</v>
      </c>
      <c r="K20" s="1" t="s">
        <v>25</v>
      </c>
      <c r="L20" s="1" t="s">
        <v>60</v>
      </c>
      <c r="M20" s="1" t="s">
        <v>27</v>
      </c>
      <c r="N20" s="1" t="s">
        <v>28</v>
      </c>
      <c r="O20" s="1" t="s">
        <v>29</v>
      </c>
      <c r="P20" s="1" t="s">
        <v>30</v>
      </c>
      <c r="Q20" s="1" t="s">
        <v>31</v>
      </c>
      <c r="R20" s="1" t="s">
        <v>32</v>
      </c>
      <c r="S20" s="1" t="s">
        <v>33</v>
      </c>
      <c r="T20" s="1" t="s">
        <v>27</v>
      </c>
      <c r="U20" s="1" t="s">
        <v>34</v>
      </c>
      <c r="V20" s="1" t="s">
        <v>51</v>
      </c>
      <c r="W20" s="1" t="s">
        <v>59</v>
      </c>
      <c r="X20" s="1" t="s">
        <v>37</v>
      </c>
    </row>
    <row r="21" spans="1:24" x14ac:dyDescent="0.35">
      <c r="A21" s="1" t="s">
        <v>46</v>
      </c>
      <c r="B21">
        <v>26</v>
      </c>
      <c r="C21" s="1" t="s">
        <v>25</v>
      </c>
      <c r="D21">
        <v>3</v>
      </c>
      <c r="E21">
        <v>4</v>
      </c>
      <c r="F21">
        <v>6</v>
      </c>
      <c r="G21">
        <v>5</v>
      </c>
      <c r="H21">
        <v>1</v>
      </c>
      <c r="I21">
        <v>2</v>
      </c>
      <c r="J21">
        <v>7</v>
      </c>
      <c r="K21" s="1" t="s">
        <v>25</v>
      </c>
      <c r="L21" s="1" t="s">
        <v>60</v>
      </c>
      <c r="M21" s="1" t="s">
        <v>27</v>
      </c>
      <c r="N21" s="1" t="s">
        <v>28</v>
      </c>
      <c r="O21" s="1" t="s">
        <v>47</v>
      </c>
      <c r="P21" s="1" t="s">
        <v>30</v>
      </c>
      <c r="Q21" s="1" t="s">
        <v>31</v>
      </c>
      <c r="R21" s="1" t="s">
        <v>65</v>
      </c>
      <c r="S21" s="1" t="s">
        <v>42</v>
      </c>
      <c r="T21" s="1" t="s">
        <v>27</v>
      </c>
      <c r="U21" s="1" t="s">
        <v>56</v>
      </c>
      <c r="V21" s="1" t="s">
        <v>51</v>
      </c>
      <c r="W21" s="1" t="s">
        <v>59</v>
      </c>
      <c r="X21" s="1" t="s">
        <v>37</v>
      </c>
    </row>
    <row r="22" spans="1:24" x14ac:dyDescent="0.35">
      <c r="A22" s="1" t="s">
        <v>46</v>
      </c>
      <c r="B22">
        <v>29</v>
      </c>
      <c r="C22" s="1" t="s">
        <v>25</v>
      </c>
      <c r="D22">
        <v>2</v>
      </c>
      <c r="E22">
        <v>4</v>
      </c>
      <c r="F22">
        <v>7</v>
      </c>
      <c r="G22">
        <v>5</v>
      </c>
      <c r="H22">
        <v>3</v>
      </c>
      <c r="I22">
        <v>1</v>
      </c>
      <c r="J22">
        <v>6</v>
      </c>
      <c r="K22" s="1" t="s">
        <v>25</v>
      </c>
      <c r="L22" s="1" t="s">
        <v>26</v>
      </c>
      <c r="M22" s="1" t="s">
        <v>63</v>
      </c>
      <c r="N22" s="1" t="s">
        <v>28</v>
      </c>
      <c r="O22" s="1" t="s">
        <v>47</v>
      </c>
      <c r="P22" s="1" t="s">
        <v>41</v>
      </c>
      <c r="Q22" s="1" t="s">
        <v>31</v>
      </c>
      <c r="R22" s="1" t="s">
        <v>32</v>
      </c>
      <c r="S22" s="1" t="s">
        <v>33</v>
      </c>
      <c r="T22" s="1" t="s">
        <v>27</v>
      </c>
      <c r="U22" s="1" t="s">
        <v>34</v>
      </c>
      <c r="V22" s="1" t="s">
        <v>51</v>
      </c>
      <c r="W22" s="1" t="s">
        <v>36</v>
      </c>
      <c r="X22" s="1" t="s">
        <v>45</v>
      </c>
    </row>
    <row r="23" spans="1:24" x14ac:dyDescent="0.35">
      <c r="A23" s="1" t="s">
        <v>24</v>
      </c>
      <c r="B23">
        <v>24</v>
      </c>
      <c r="C23" s="1" t="s">
        <v>25</v>
      </c>
      <c r="D23">
        <v>2</v>
      </c>
      <c r="E23">
        <v>4</v>
      </c>
      <c r="F23">
        <v>5</v>
      </c>
      <c r="G23">
        <v>6</v>
      </c>
      <c r="H23">
        <v>3</v>
      </c>
      <c r="I23">
        <v>1</v>
      </c>
      <c r="J23">
        <v>7</v>
      </c>
      <c r="K23" s="1" t="s">
        <v>25</v>
      </c>
      <c r="L23" s="1" t="s">
        <v>60</v>
      </c>
      <c r="M23" s="1" t="s">
        <v>27</v>
      </c>
      <c r="N23" s="1" t="s">
        <v>28</v>
      </c>
      <c r="O23" s="1" t="s">
        <v>47</v>
      </c>
      <c r="P23" s="1" t="s">
        <v>30</v>
      </c>
      <c r="Q23" s="1" t="s">
        <v>31</v>
      </c>
      <c r="R23" s="1" t="s">
        <v>49</v>
      </c>
      <c r="S23" s="1" t="s">
        <v>42</v>
      </c>
      <c r="T23" s="1" t="s">
        <v>27</v>
      </c>
      <c r="U23" s="1" t="s">
        <v>34</v>
      </c>
      <c r="V23" s="1" t="s">
        <v>51</v>
      </c>
      <c r="W23" s="1" t="s">
        <v>59</v>
      </c>
      <c r="X23" s="1" t="s">
        <v>37</v>
      </c>
    </row>
    <row r="24" spans="1:24" x14ac:dyDescent="0.35">
      <c r="A24" s="1" t="s">
        <v>46</v>
      </c>
      <c r="B24">
        <v>27</v>
      </c>
      <c r="C24" s="1" t="s">
        <v>25</v>
      </c>
      <c r="D24">
        <v>3</v>
      </c>
      <c r="E24">
        <v>4</v>
      </c>
      <c r="F24">
        <v>6</v>
      </c>
      <c r="G24">
        <v>5</v>
      </c>
      <c r="H24">
        <v>2</v>
      </c>
      <c r="I24">
        <v>1</v>
      </c>
      <c r="J24">
        <v>7</v>
      </c>
      <c r="K24" s="1" t="s">
        <v>25</v>
      </c>
      <c r="L24" s="1" t="s">
        <v>26</v>
      </c>
      <c r="M24" s="1" t="s">
        <v>27</v>
      </c>
      <c r="N24" s="1" t="s">
        <v>28</v>
      </c>
      <c r="O24" s="1" t="s">
        <v>47</v>
      </c>
      <c r="P24" s="1" t="s">
        <v>30</v>
      </c>
      <c r="Q24" s="1" t="s">
        <v>31</v>
      </c>
      <c r="R24" s="1" t="s">
        <v>32</v>
      </c>
      <c r="S24" s="1" t="s">
        <v>33</v>
      </c>
      <c r="T24" s="1" t="s">
        <v>27</v>
      </c>
      <c r="U24" s="1" t="s">
        <v>34</v>
      </c>
      <c r="V24" s="1" t="s">
        <v>51</v>
      </c>
      <c r="W24" s="1" t="s">
        <v>59</v>
      </c>
      <c r="X24" s="1" t="s">
        <v>45</v>
      </c>
    </row>
    <row r="25" spans="1:24" x14ac:dyDescent="0.35">
      <c r="A25" s="1" t="s">
        <v>46</v>
      </c>
      <c r="B25">
        <v>25</v>
      </c>
      <c r="C25" s="1" t="s">
        <v>25</v>
      </c>
      <c r="D25">
        <v>2</v>
      </c>
      <c r="E25">
        <v>4</v>
      </c>
      <c r="F25">
        <v>6</v>
      </c>
      <c r="G25">
        <v>5</v>
      </c>
      <c r="H25">
        <v>3</v>
      </c>
      <c r="I25">
        <v>1</v>
      </c>
      <c r="J25">
        <v>7</v>
      </c>
      <c r="K25" s="1" t="s">
        <v>25</v>
      </c>
      <c r="L25" s="1" t="s">
        <v>60</v>
      </c>
      <c r="M25" s="1" t="s">
        <v>63</v>
      </c>
      <c r="N25" s="1" t="s">
        <v>64</v>
      </c>
      <c r="O25" s="1" t="s">
        <v>47</v>
      </c>
      <c r="P25" s="1" t="s">
        <v>41</v>
      </c>
      <c r="Q25" s="1" t="s">
        <v>31</v>
      </c>
      <c r="R25" s="1" t="s">
        <v>67</v>
      </c>
      <c r="S25" s="1" t="s">
        <v>42</v>
      </c>
      <c r="T25" s="1" t="s">
        <v>62</v>
      </c>
      <c r="U25" s="1" t="s">
        <v>34</v>
      </c>
      <c r="V25" s="1" t="s">
        <v>51</v>
      </c>
      <c r="W25" s="1" t="s">
        <v>59</v>
      </c>
      <c r="X25" s="1" t="s">
        <v>45</v>
      </c>
    </row>
    <row r="26" spans="1:24" x14ac:dyDescent="0.35">
      <c r="A26" s="1" t="s">
        <v>24</v>
      </c>
      <c r="B26">
        <v>26</v>
      </c>
      <c r="C26" s="1" t="s">
        <v>25</v>
      </c>
      <c r="D26">
        <v>2</v>
      </c>
      <c r="E26">
        <v>3</v>
      </c>
      <c r="F26">
        <v>7</v>
      </c>
      <c r="G26">
        <v>5</v>
      </c>
      <c r="H26">
        <v>4</v>
      </c>
      <c r="I26">
        <v>1</v>
      </c>
      <c r="J26">
        <v>6</v>
      </c>
      <c r="K26" s="1" t="s">
        <v>25</v>
      </c>
      <c r="L26" s="1" t="s">
        <v>26</v>
      </c>
      <c r="M26" s="1" t="s">
        <v>27</v>
      </c>
      <c r="N26" s="1" t="s">
        <v>28</v>
      </c>
      <c r="O26" s="1" t="s">
        <v>47</v>
      </c>
      <c r="P26" s="1" t="s">
        <v>30</v>
      </c>
      <c r="Q26" s="1" t="s">
        <v>61</v>
      </c>
      <c r="R26" s="1" t="s">
        <v>67</v>
      </c>
      <c r="S26" s="1" t="s">
        <v>33</v>
      </c>
      <c r="T26" s="1" t="s">
        <v>27</v>
      </c>
      <c r="U26" s="1" t="s">
        <v>34</v>
      </c>
      <c r="V26" s="1" t="s">
        <v>51</v>
      </c>
      <c r="W26" s="1" t="s">
        <v>59</v>
      </c>
      <c r="X26" s="1" t="s">
        <v>37</v>
      </c>
    </row>
    <row r="27" spans="1:24" x14ac:dyDescent="0.35">
      <c r="A27" s="1" t="s">
        <v>24</v>
      </c>
      <c r="B27">
        <v>32</v>
      </c>
      <c r="C27" s="1" t="s">
        <v>25</v>
      </c>
      <c r="D27">
        <v>3</v>
      </c>
      <c r="E27">
        <v>4</v>
      </c>
      <c r="F27">
        <v>7</v>
      </c>
      <c r="G27">
        <v>5</v>
      </c>
      <c r="H27">
        <v>1</v>
      </c>
      <c r="I27">
        <v>2</v>
      </c>
      <c r="J27">
        <v>6</v>
      </c>
      <c r="K27" s="1" t="s">
        <v>25</v>
      </c>
      <c r="L27" s="1" t="s">
        <v>60</v>
      </c>
      <c r="M27" s="1" t="s">
        <v>63</v>
      </c>
      <c r="N27" s="1" t="s">
        <v>28</v>
      </c>
      <c r="O27" s="1" t="s">
        <v>47</v>
      </c>
      <c r="P27" s="1" t="s">
        <v>30</v>
      </c>
      <c r="Q27" s="1" t="s">
        <v>31</v>
      </c>
      <c r="R27" s="1" t="s">
        <v>32</v>
      </c>
      <c r="S27" s="1" t="s">
        <v>33</v>
      </c>
      <c r="T27" s="1" t="s">
        <v>27</v>
      </c>
      <c r="U27" s="1" t="s">
        <v>34</v>
      </c>
      <c r="V27" s="1" t="s">
        <v>51</v>
      </c>
      <c r="W27" s="1" t="s">
        <v>36</v>
      </c>
      <c r="X27" s="1" t="s">
        <v>45</v>
      </c>
    </row>
    <row r="28" spans="1:24" x14ac:dyDescent="0.35">
      <c r="A28" s="1" t="s">
        <v>46</v>
      </c>
      <c r="B28">
        <v>26</v>
      </c>
      <c r="C28" s="1" t="s">
        <v>25</v>
      </c>
      <c r="D28">
        <v>3</v>
      </c>
      <c r="E28">
        <v>4</v>
      </c>
      <c r="F28">
        <v>6</v>
      </c>
      <c r="G28">
        <v>5</v>
      </c>
      <c r="H28">
        <v>1</v>
      </c>
      <c r="I28">
        <v>2</v>
      </c>
      <c r="J28">
        <v>7</v>
      </c>
      <c r="K28" s="1" t="s">
        <v>25</v>
      </c>
      <c r="L28" s="1" t="s">
        <v>26</v>
      </c>
      <c r="M28" s="1" t="s">
        <v>27</v>
      </c>
      <c r="N28" s="1" t="s">
        <v>28</v>
      </c>
      <c r="O28" s="1" t="s">
        <v>47</v>
      </c>
      <c r="P28" s="1" t="s">
        <v>30</v>
      </c>
      <c r="Q28" s="1" t="s">
        <v>31</v>
      </c>
      <c r="R28" s="1" t="s">
        <v>32</v>
      </c>
      <c r="S28" s="1" t="s">
        <v>33</v>
      </c>
      <c r="T28" s="1" t="s">
        <v>43</v>
      </c>
      <c r="U28" s="1" t="s">
        <v>56</v>
      </c>
      <c r="V28" s="1" t="s">
        <v>51</v>
      </c>
      <c r="W28" s="1" t="s">
        <v>36</v>
      </c>
      <c r="X28" s="1" t="s">
        <v>45</v>
      </c>
    </row>
    <row r="29" spans="1:24" x14ac:dyDescent="0.35">
      <c r="A29" s="1" t="s">
        <v>46</v>
      </c>
      <c r="B29">
        <v>31</v>
      </c>
      <c r="C29" s="1" t="s">
        <v>25</v>
      </c>
      <c r="D29">
        <v>2</v>
      </c>
      <c r="E29">
        <v>3</v>
      </c>
      <c r="F29">
        <v>7</v>
      </c>
      <c r="G29">
        <v>6</v>
      </c>
      <c r="H29">
        <v>4</v>
      </c>
      <c r="I29">
        <v>1</v>
      </c>
      <c r="J29">
        <v>5</v>
      </c>
      <c r="K29" s="1" t="s">
        <v>25</v>
      </c>
      <c r="L29" s="1" t="s">
        <v>60</v>
      </c>
      <c r="M29" s="1" t="s">
        <v>63</v>
      </c>
      <c r="N29" s="1" t="s">
        <v>64</v>
      </c>
      <c r="O29" s="1" t="s">
        <v>29</v>
      </c>
      <c r="P29" s="1" t="s">
        <v>30</v>
      </c>
      <c r="Q29" s="1" t="s">
        <v>31</v>
      </c>
      <c r="R29" s="1" t="s">
        <v>65</v>
      </c>
      <c r="S29" s="1" t="s">
        <v>42</v>
      </c>
      <c r="T29" s="1" t="s">
        <v>27</v>
      </c>
      <c r="U29" s="1" t="s">
        <v>56</v>
      </c>
      <c r="V29" s="1" t="s">
        <v>35</v>
      </c>
      <c r="W29" s="1" t="s">
        <v>36</v>
      </c>
      <c r="X29" s="1" t="s">
        <v>52</v>
      </c>
    </row>
    <row r="30" spans="1:24" x14ac:dyDescent="0.35">
      <c r="A30" s="1" t="s">
        <v>46</v>
      </c>
      <c r="B30">
        <v>29</v>
      </c>
      <c r="C30" s="1" t="s">
        <v>25</v>
      </c>
      <c r="D30">
        <v>2</v>
      </c>
      <c r="E30">
        <v>3</v>
      </c>
      <c r="F30">
        <v>6</v>
      </c>
      <c r="G30">
        <v>5</v>
      </c>
      <c r="H30">
        <v>1</v>
      </c>
      <c r="I30">
        <v>4</v>
      </c>
      <c r="J30">
        <v>7</v>
      </c>
      <c r="K30" s="1" t="s">
        <v>25</v>
      </c>
      <c r="L30" s="1" t="s">
        <v>26</v>
      </c>
      <c r="M30" s="1" t="s">
        <v>27</v>
      </c>
      <c r="N30" s="1" t="s">
        <v>28</v>
      </c>
      <c r="O30" s="1" t="s">
        <v>29</v>
      </c>
      <c r="P30" s="1" t="s">
        <v>30</v>
      </c>
      <c r="Q30" s="1" t="s">
        <v>31</v>
      </c>
      <c r="R30" s="1" t="s">
        <v>49</v>
      </c>
      <c r="S30" s="1" t="s">
        <v>33</v>
      </c>
      <c r="T30" s="1" t="s">
        <v>27</v>
      </c>
      <c r="U30" s="1" t="s">
        <v>34</v>
      </c>
      <c r="V30" s="1" t="s">
        <v>51</v>
      </c>
      <c r="W30" s="1" t="s">
        <v>59</v>
      </c>
      <c r="X30" s="1" t="s">
        <v>52</v>
      </c>
    </row>
    <row r="31" spans="1:24" x14ac:dyDescent="0.35">
      <c r="A31" s="1" t="s">
        <v>24</v>
      </c>
      <c r="B31">
        <v>34</v>
      </c>
      <c r="C31" s="1" t="s">
        <v>25</v>
      </c>
      <c r="D31">
        <v>5</v>
      </c>
      <c r="E31">
        <v>4</v>
      </c>
      <c r="F31">
        <v>3</v>
      </c>
      <c r="G31">
        <v>2</v>
      </c>
      <c r="H31">
        <v>7</v>
      </c>
      <c r="I31">
        <v>1</v>
      </c>
      <c r="J31">
        <v>6</v>
      </c>
      <c r="K31" s="1" t="s">
        <v>25</v>
      </c>
      <c r="L31" s="1" t="s">
        <v>26</v>
      </c>
      <c r="M31" s="1" t="s">
        <v>53</v>
      </c>
      <c r="N31" s="1" t="s">
        <v>26</v>
      </c>
      <c r="O31" s="1" t="s">
        <v>47</v>
      </c>
      <c r="P31" s="1" t="s">
        <v>30</v>
      </c>
      <c r="Q31" s="1" t="s">
        <v>55</v>
      </c>
      <c r="R31" s="1" t="s">
        <v>32</v>
      </c>
      <c r="S31" s="1" t="s">
        <v>33</v>
      </c>
      <c r="T31" s="1" t="s">
        <v>27</v>
      </c>
      <c r="U31" s="1" t="s">
        <v>50</v>
      </c>
      <c r="V31" s="1" t="s">
        <v>35</v>
      </c>
      <c r="W31" s="1" t="s">
        <v>36</v>
      </c>
      <c r="X31" s="1" t="s">
        <v>37</v>
      </c>
    </row>
    <row r="32" spans="1:24" x14ac:dyDescent="0.35">
      <c r="A32" s="1" t="s">
        <v>46</v>
      </c>
      <c r="B32">
        <v>27</v>
      </c>
      <c r="C32" s="1" t="s">
        <v>25</v>
      </c>
      <c r="D32">
        <v>4</v>
      </c>
      <c r="E32">
        <v>5</v>
      </c>
      <c r="F32">
        <v>1</v>
      </c>
      <c r="G32">
        <v>2</v>
      </c>
      <c r="H32">
        <v>7</v>
      </c>
      <c r="I32">
        <v>3</v>
      </c>
      <c r="J32">
        <v>6</v>
      </c>
      <c r="K32" s="1" t="s">
        <v>38</v>
      </c>
      <c r="L32" s="1" t="s">
        <v>26</v>
      </c>
      <c r="M32" s="1" t="s">
        <v>63</v>
      </c>
      <c r="N32" s="1" t="s">
        <v>28</v>
      </c>
      <c r="O32" s="1" t="s">
        <v>29</v>
      </c>
      <c r="P32" s="1" t="s">
        <v>30</v>
      </c>
      <c r="Q32" s="1" t="s">
        <v>55</v>
      </c>
      <c r="R32" s="1" t="s">
        <v>32</v>
      </c>
      <c r="S32" s="1" t="s">
        <v>66</v>
      </c>
      <c r="T32" s="1" t="s">
        <v>27</v>
      </c>
      <c r="U32" s="1" t="s">
        <v>50</v>
      </c>
      <c r="V32" s="1" t="s">
        <v>35</v>
      </c>
      <c r="W32" s="1" t="s">
        <v>36</v>
      </c>
      <c r="X32" s="1" t="s">
        <v>52</v>
      </c>
    </row>
    <row r="33" spans="1:24" x14ac:dyDescent="0.35">
      <c r="A33" s="1" t="s">
        <v>24</v>
      </c>
      <c r="B33">
        <v>31</v>
      </c>
      <c r="C33" s="1" t="s">
        <v>25</v>
      </c>
      <c r="D33">
        <v>2</v>
      </c>
      <c r="E33">
        <v>4</v>
      </c>
      <c r="F33">
        <v>7</v>
      </c>
      <c r="G33">
        <v>6</v>
      </c>
      <c r="H33">
        <v>3</v>
      </c>
      <c r="I33">
        <v>1</v>
      </c>
      <c r="J33">
        <v>5</v>
      </c>
      <c r="K33" s="1" t="s">
        <v>25</v>
      </c>
      <c r="L33" s="1" t="s">
        <v>26</v>
      </c>
      <c r="M33" s="1" t="s">
        <v>27</v>
      </c>
      <c r="N33" s="1" t="s">
        <v>28</v>
      </c>
      <c r="O33" s="1" t="s">
        <v>47</v>
      </c>
      <c r="P33" s="1" t="s">
        <v>30</v>
      </c>
      <c r="Q33" s="1" t="s">
        <v>31</v>
      </c>
      <c r="R33" s="1" t="s">
        <v>65</v>
      </c>
      <c r="S33" s="1" t="s">
        <v>33</v>
      </c>
      <c r="T33" s="1" t="s">
        <v>27</v>
      </c>
      <c r="U33" s="1" t="s">
        <v>34</v>
      </c>
      <c r="V33" s="1" t="s">
        <v>51</v>
      </c>
      <c r="W33" s="1" t="s">
        <v>36</v>
      </c>
      <c r="X33" s="1" t="s">
        <v>45</v>
      </c>
    </row>
    <row r="34" spans="1:24" x14ac:dyDescent="0.35">
      <c r="A34" s="1" t="s">
        <v>46</v>
      </c>
      <c r="B34">
        <v>27</v>
      </c>
      <c r="C34" s="1" t="s">
        <v>25</v>
      </c>
      <c r="D34">
        <v>2</v>
      </c>
      <c r="E34">
        <v>4</v>
      </c>
      <c r="F34">
        <v>7</v>
      </c>
      <c r="G34">
        <v>5</v>
      </c>
      <c r="H34">
        <v>1</v>
      </c>
      <c r="I34">
        <v>3</v>
      </c>
      <c r="J34">
        <v>6</v>
      </c>
      <c r="K34" s="1" t="s">
        <v>25</v>
      </c>
      <c r="L34" s="1" t="s">
        <v>26</v>
      </c>
      <c r="M34" s="1" t="s">
        <v>27</v>
      </c>
      <c r="N34" s="1" t="s">
        <v>28</v>
      </c>
      <c r="O34" s="1" t="s">
        <v>47</v>
      </c>
      <c r="P34" s="1" t="s">
        <v>30</v>
      </c>
      <c r="Q34" s="1" t="s">
        <v>61</v>
      </c>
      <c r="R34" s="1" t="s">
        <v>49</v>
      </c>
      <c r="S34" s="1" t="s">
        <v>42</v>
      </c>
      <c r="T34" s="1" t="s">
        <v>27</v>
      </c>
      <c r="U34" s="1" t="s">
        <v>56</v>
      </c>
      <c r="V34" s="1" t="s">
        <v>51</v>
      </c>
      <c r="W34" s="1" t="s">
        <v>36</v>
      </c>
      <c r="X34" s="1" t="s">
        <v>37</v>
      </c>
    </row>
    <row r="35" spans="1:24" x14ac:dyDescent="0.35">
      <c r="A35" s="1" t="s">
        <v>46</v>
      </c>
      <c r="B35">
        <v>26</v>
      </c>
      <c r="C35" s="1" t="s">
        <v>25</v>
      </c>
      <c r="D35">
        <v>2</v>
      </c>
      <c r="E35">
        <v>3</v>
      </c>
      <c r="F35">
        <v>6</v>
      </c>
      <c r="G35">
        <v>4</v>
      </c>
      <c r="H35">
        <v>1</v>
      </c>
      <c r="I35">
        <v>5</v>
      </c>
      <c r="J35">
        <v>7</v>
      </c>
      <c r="K35" s="1" t="s">
        <v>25</v>
      </c>
      <c r="L35" s="1" t="s">
        <v>26</v>
      </c>
      <c r="M35" s="1" t="s">
        <v>27</v>
      </c>
      <c r="N35" s="1" t="s">
        <v>26</v>
      </c>
      <c r="O35" s="1" t="s">
        <v>29</v>
      </c>
      <c r="P35" s="1" t="s">
        <v>30</v>
      </c>
      <c r="Q35" s="1" t="s">
        <v>31</v>
      </c>
      <c r="R35" s="1" t="s">
        <v>65</v>
      </c>
      <c r="S35" s="1" t="s">
        <v>66</v>
      </c>
      <c r="T35" s="1" t="s">
        <v>43</v>
      </c>
      <c r="U35" s="1" t="s">
        <v>34</v>
      </c>
      <c r="V35" s="1" t="s">
        <v>35</v>
      </c>
      <c r="W35" s="1" t="s">
        <v>59</v>
      </c>
      <c r="X35" s="1" t="s">
        <v>37</v>
      </c>
    </row>
    <row r="36" spans="1:24" x14ac:dyDescent="0.35">
      <c r="A36" s="1" t="s">
        <v>46</v>
      </c>
      <c r="B36">
        <v>27</v>
      </c>
      <c r="C36" s="1" t="s">
        <v>25</v>
      </c>
      <c r="D36">
        <v>2</v>
      </c>
      <c r="E36">
        <v>3</v>
      </c>
      <c r="F36">
        <v>6</v>
      </c>
      <c r="G36">
        <v>5</v>
      </c>
      <c r="H36">
        <v>4</v>
      </c>
      <c r="I36">
        <v>1</v>
      </c>
      <c r="J36">
        <v>7</v>
      </c>
      <c r="K36" s="1" t="s">
        <v>25</v>
      </c>
      <c r="L36" s="1" t="s">
        <v>26</v>
      </c>
      <c r="M36" s="1" t="s">
        <v>27</v>
      </c>
      <c r="N36" s="1" t="s">
        <v>28</v>
      </c>
      <c r="O36" s="1" t="s">
        <v>29</v>
      </c>
      <c r="P36" s="1" t="s">
        <v>41</v>
      </c>
      <c r="Q36" s="1" t="s">
        <v>31</v>
      </c>
      <c r="R36" s="1" t="s">
        <v>32</v>
      </c>
      <c r="S36" s="1" t="s">
        <v>42</v>
      </c>
      <c r="T36" s="1" t="s">
        <v>27</v>
      </c>
      <c r="U36" s="1" t="s">
        <v>34</v>
      </c>
      <c r="V36" s="1" t="s">
        <v>35</v>
      </c>
      <c r="W36" s="1" t="s">
        <v>36</v>
      </c>
      <c r="X36" s="1" t="s">
        <v>45</v>
      </c>
    </row>
    <row r="37" spans="1:24" x14ac:dyDescent="0.35">
      <c r="A37" s="1" t="s">
        <v>46</v>
      </c>
      <c r="B37">
        <v>30</v>
      </c>
      <c r="C37" s="1" t="s">
        <v>25</v>
      </c>
      <c r="D37">
        <v>1</v>
      </c>
      <c r="E37">
        <v>4</v>
      </c>
      <c r="F37">
        <v>6</v>
      </c>
      <c r="G37">
        <v>5</v>
      </c>
      <c r="H37">
        <v>3</v>
      </c>
      <c r="I37">
        <v>2</v>
      </c>
      <c r="J37">
        <v>7</v>
      </c>
      <c r="K37" s="1" t="s">
        <v>25</v>
      </c>
      <c r="L37" s="1" t="s">
        <v>60</v>
      </c>
      <c r="M37" s="1" t="s">
        <v>63</v>
      </c>
      <c r="N37" s="1" t="s">
        <v>28</v>
      </c>
      <c r="O37" s="1" t="s">
        <v>47</v>
      </c>
      <c r="P37" s="1" t="s">
        <v>30</v>
      </c>
      <c r="Q37" s="1" t="s">
        <v>31</v>
      </c>
      <c r="R37" s="1" t="s">
        <v>65</v>
      </c>
      <c r="S37" s="1" t="s">
        <v>42</v>
      </c>
      <c r="T37" s="1" t="s">
        <v>27</v>
      </c>
      <c r="U37" s="1" t="s">
        <v>34</v>
      </c>
      <c r="V37" s="1" t="s">
        <v>51</v>
      </c>
      <c r="W37" s="1" t="s">
        <v>36</v>
      </c>
      <c r="X37" s="1" t="s">
        <v>45</v>
      </c>
    </row>
    <row r="38" spans="1:24" x14ac:dyDescent="0.35">
      <c r="A38" s="1" t="s">
        <v>46</v>
      </c>
      <c r="B38">
        <v>30</v>
      </c>
      <c r="C38" s="1" t="s">
        <v>25</v>
      </c>
      <c r="D38">
        <v>2</v>
      </c>
      <c r="E38">
        <v>4</v>
      </c>
      <c r="F38">
        <v>7</v>
      </c>
      <c r="G38">
        <v>5</v>
      </c>
      <c r="H38">
        <v>1</v>
      </c>
      <c r="I38">
        <v>3</v>
      </c>
      <c r="J38">
        <v>6</v>
      </c>
      <c r="K38" s="1" t="s">
        <v>25</v>
      </c>
      <c r="L38" s="1" t="s">
        <v>26</v>
      </c>
      <c r="M38" s="1" t="s">
        <v>27</v>
      </c>
      <c r="N38" s="1" t="s">
        <v>28</v>
      </c>
      <c r="O38" s="1" t="s">
        <v>29</v>
      </c>
      <c r="P38" s="1" t="s">
        <v>30</v>
      </c>
      <c r="Q38" s="1" t="s">
        <v>31</v>
      </c>
      <c r="R38" s="1" t="s">
        <v>49</v>
      </c>
      <c r="S38" s="1" t="s">
        <v>33</v>
      </c>
      <c r="T38" s="1" t="s">
        <v>27</v>
      </c>
      <c r="U38" s="1" t="s">
        <v>34</v>
      </c>
      <c r="V38" s="1" t="s">
        <v>51</v>
      </c>
      <c r="W38" s="1" t="s">
        <v>59</v>
      </c>
      <c r="X38" s="1" t="s">
        <v>37</v>
      </c>
    </row>
    <row r="39" spans="1:24" x14ac:dyDescent="0.35">
      <c r="A39" s="1" t="s">
        <v>46</v>
      </c>
      <c r="B39">
        <v>25</v>
      </c>
      <c r="C39" s="1" t="s">
        <v>25</v>
      </c>
      <c r="D39">
        <v>5</v>
      </c>
      <c r="E39">
        <v>4</v>
      </c>
      <c r="F39">
        <v>7</v>
      </c>
      <c r="G39">
        <v>6</v>
      </c>
      <c r="H39">
        <v>1</v>
      </c>
      <c r="I39">
        <v>2</v>
      </c>
      <c r="J39">
        <v>3</v>
      </c>
      <c r="K39" s="1" t="s">
        <v>25</v>
      </c>
      <c r="L39" s="1" t="s">
        <v>60</v>
      </c>
      <c r="M39" s="1" t="s">
        <v>63</v>
      </c>
      <c r="N39" s="1" t="s">
        <v>64</v>
      </c>
      <c r="O39" s="1" t="s">
        <v>47</v>
      </c>
      <c r="P39" s="1" t="s">
        <v>30</v>
      </c>
      <c r="Q39" s="1" t="s">
        <v>61</v>
      </c>
      <c r="R39" s="1" t="s">
        <v>67</v>
      </c>
      <c r="S39" s="1" t="s">
        <v>42</v>
      </c>
      <c r="T39" s="1" t="s">
        <v>27</v>
      </c>
      <c r="U39" s="1" t="s">
        <v>34</v>
      </c>
      <c r="V39" s="1" t="s">
        <v>35</v>
      </c>
      <c r="W39" s="1" t="s">
        <v>36</v>
      </c>
      <c r="X39" s="1" t="s">
        <v>45</v>
      </c>
    </row>
    <row r="40" spans="1:24" x14ac:dyDescent="0.35">
      <c r="A40" s="1" t="s">
        <v>46</v>
      </c>
      <c r="B40">
        <v>31</v>
      </c>
      <c r="C40" s="1" t="s">
        <v>25</v>
      </c>
      <c r="D40">
        <v>2</v>
      </c>
      <c r="E40">
        <v>4</v>
      </c>
      <c r="F40">
        <v>7</v>
      </c>
      <c r="G40">
        <v>5</v>
      </c>
      <c r="H40">
        <v>3</v>
      </c>
      <c r="I40">
        <v>1</v>
      </c>
      <c r="J40">
        <v>6</v>
      </c>
      <c r="K40" s="1" t="s">
        <v>25</v>
      </c>
      <c r="L40" s="1" t="s">
        <v>60</v>
      </c>
      <c r="M40" s="1" t="s">
        <v>63</v>
      </c>
      <c r="N40" s="1" t="s">
        <v>28</v>
      </c>
      <c r="O40" s="1" t="s">
        <v>29</v>
      </c>
      <c r="P40" s="1" t="s">
        <v>41</v>
      </c>
      <c r="Q40" s="1" t="s">
        <v>31</v>
      </c>
      <c r="R40" s="1" t="s">
        <v>49</v>
      </c>
      <c r="S40" s="1" t="s">
        <v>42</v>
      </c>
      <c r="T40" s="1" t="s">
        <v>43</v>
      </c>
      <c r="U40" s="1" t="s">
        <v>56</v>
      </c>
      <c r="V40" s="1" t="s">
        <v>51</v>
      </c>
      <c r="W40" s="1" t="s">
        <v>36</v>
      </c>
      <c r="X40" s="1" t="s">
        <v>37</v>
      </c>
    </row>
    <row r="41" spans="1:24" x14ac:dyDescent="0.35">
      <c r="A41" s="1" t="s">
        <v>46</v>
      </c>
      <c r="B41">
        <v>29</v>
      </c>
      <c r="C41" s="1" t="s">
        <v>25</v>
      </c>
      <c r="D41">
        <v>4</v>
      </c>
      <c r="E41">
        <v>3</v>
      </c>
      <c r="F41">
        <v>5</v>
      </c>
      <c r="G41">
        <v>7</v>
      </c>
      <c r="H41">
        <v>2</v>
      </c>
      <c r="I41">
        <v>1</v>
      </c>
      <c r="J41">
        <v>6</v>
      </c>
      <c r="K41" s="1" t="s">
        <v>25</v>
      </c>
      <c r="L41" s="1" t="s">
        <v>26</v>
      </c>
      <c r="M41" s="1" t="s">
        <v>27</v>
      </c>
      <c r="N41" s="1" t="s">
        <v>28</v>
      </c>
      <c r="O41" s="1" t="s">
        <v>47</v>
      </c>
      <c r="P41" s="1" t="s">
        <v>30</v>
      </c>
      <c r="Q41" s="1" t="s">
        <v>31</v>
      </c>
      <c r="R41" s="1" t="s">
        <v>65</v>
      </c>
      <c r="S41" s="1" t="s">
        <v>33</v>
      </c>
      <c r="T41" s="1" t="s">
        <v>43</v>
      </c>
      <c r="U41" s="1" t="s">
        <v>34</v>
      </c>
      <c r="V41" s="1" t="s">
        <v>35</v>
      </c>
      <c r="W41" s="1" t="s">
        <v>36</v>
      </c>
      <c r="X41" s="1" t="s">
        <v>45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CE311-F504-4343-A725-791C6E633946}">
  <sheetPr codeName="Sheet2"/>
  <dimension ref="A1"/>
  <sheetViews>
    <sheetView workbookViewId="0"/>
  </sheetViews>
  <sheetFormatPr defaultRowHeight="14.5"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822CC-60A0-4E24-AB64-229D3572451A}">
  <sheetPr codeName="Sheet3">
    <tabColor rgb="FF1F4E79"/>
  </sheetPr>
  <dimension ref="A1:P70"/>
  <sheetViews>
    <sheetView showGridLines="0" zoomScale="70" zoomScaleNormal="70" workbookViewId="0">
      <selection activeCell="F8" sqref="F8"/>
    </sheetView>
  </sheetViews>
  <sheetFormatPr defaultRowHeight="14.5" x14ac:dyDescent="0.35"/>
  <cols>
    <col min="1" max="1" width="2.6328125" customWidth="1"/>
    <col min="2" max="2" width="17.453125" bestFit="1" customWidth="1"/>
    <col min="3" max="3" width="16.453125" bestFit="1" customWidth="1"/>
    <col min="4" max="4" width="4.81640625" bestFit="1" customWidth="1"/>
    <col min="5" max="5" width="10.90625" bestFit="1" customWidth="1"/>
    <col min="6" max="6" width="13.1796875" bestFit="1" customWidth="1"/>
    <col min="7" max="7" width="10.1796875" bestFit="1" customWidth="1"/>
    <col min="8" max="8" width="13.81640625" bestFit="1" customWidth="1"/>
    <col min="9" max="9" width="14" bestFit="1" customWidth="1"/>
    <col min="10" max="10" width="18.54296875" bestFit="1" customWidth="1"/>
    <col min="11" max="11" width="16.36328125" bestFit="1" customWidth="1"/>
    <col min="12" max="12" width="10.36328125" bestFit="1" customWidth="1"/>
  </cols>
  <sheetData>
    <row r="1" spans="1:16" ht="32" customHeight="1" x14ac:dyDescent="0.35">
      <c r="A1" s="2" t="s">
        <v>68</v>
      </c>
      <c r="B1" s="2"/>
      <c r="C1" s="2"/>
      <c r="D1" s="2"/>
      <c r="E1" s="2"/>
      <c r="F1" s="2"/>
      <c r="G1" s="2"/>
      <c r="H1" s="2"/>
      <c r="I1" s="2"/>
      <c r="J1" s="2"/>
      <c r="K1" s="2"/>
      <c r="L1" s="2"/>
      <c r="M1" s="2"/>
      <c r="N1" s="2"/>
      <c r="O1" s="2"/>
      <c r="P1" s="2"/>
    </row>
    <row r="2" spans="1:16" ht="16" customHeight="1" x14ac:dyDescent="0.35">
      <c r="A2" s="7"/>
      <c r="B2" s="7"/>
      <c r="C2" s="7"/>
      <c r="D2" s="7"/>
      <c r="E2" s="7"/>
      <c r="F2" s="7"/>
      <c r="G2" s="7"/>
      <c r="H2" s="7"/>
      <c r="I2" s="7"/>
      <c r="J2" s="7"/>
      <c r="K2" s="7"/>
      <c r="L2" s="7"/>
      <c r="M2" s="7"/>
      <c r="N2" s="7"/>
      <c r="O2" s="7"/>
      <c r="P2" s="7"/>
    </row>
    <row r="4" spans="1:16" ht="22" customHeight="1" x14ac:dyDescent="0.35">
      <c r="B4" s="3" t="s">
        <v>69</v>
      </c>
      <c r="J4" s="3" t="s">
        <v>76</v>
      </c>
    </row>
    <row r="5" spans="1:16" ht="14" customHeight="1" x14ac:dyDescent="0.35">
      <c r="B5" s="4" t="s">
        <v>70</v>
      </c>
      <c r="J5" s="4" t="s">
        <v>77</v>
      </c>
    </row>
    <row r="6" spans="1:16" x14ac:dyDescent="0.35">
      <c r="C6" s="5" t="s">
        <v>73</v>
      </c>
      <c r="J6" s="5" t="s">
        <v>71</v>
      </c>
      <c r="K6" t="s">
        <v>78</v>
      </c>
    </row>
    <row r="7" spans="1:16" x14ac:dyDescent="0.35">
      <c r="B7" s="5" t="s">
        <v>71</v>
      </c>
      <c r="C7" t="s">
        <v>72</v>
      </c>
      <c r="D7" t="s">
        <v>49</v>
      </c>
      <c r="E7" t="s">
        <v>74</v>
      </c>
      <c r="F7" t="s">
        <v>65</v>
      </c>
      <c r="G7" t="s">
        <v>75</v>
      </c>
      <c r="J7" s="6" t="s">
        <v>32</v>
      </c>
      <c r="K7" s="1">
        <v>18</v>
      </c>
    </row>
    <row r="8" spans="1:16" x14ac:dyDescent="0.35">
      <c r="B8" s="6" t="s">
        <v>24</v>
      </c>
      <c r="C8" s="1">
        <v>41</v>
      </c>
      <c r="D8" s="1">
        <v>50</v>
      </c>
      <c r="E8" s="1">
        <v>88</v>
      </c>
      <c r="F8" s="1">
        <v>63</v>
      </c>
      <c r="G8" s="1">
        <v>35</v>
      </c>
      <c r="J8" s="6" t="s">
        <v>49</v>
      </c>
      <c r="K8" s="1">
        <v>10</v>
      </c>
    </row>
    <row r="9" spans="1:16" x14ac:dyDescent="0.35">
      <c r="B9" s="6" t="s">
        <v>46</v>
      </c>
      <c r="C9" s="1">
        <v>61</v>
      </c>
      <c r="D9" s="1">
        <v>89</v>
      </c>
      <c r="E9" s="1">
        <v>151</v>
      </c>
      <c r="F9" s="1">
        <v>80</v>
      </c>
      <c r="G9" s="1">
        <v>46</v>
      </c>
      <c r="J9" s="6" t="s">
        <v>65</v>
      </c>
      <c r="K9" s="1">
        <v>9</v>
      </c>
    </row>
    <row r="10" spans="1:16" x14ac:dyDescent="0.35">
      <c r="J10" s="6" t="s">
        <v>67</v>
      </c>
      <c r="K10" s="1">
        <v>3</v>
      </c>
    </row>
    <row r="11" spans="1:16" x14ac:dyDescent="0.35">
      <c r="K11" t="str">
        <f>J7</f>
        <v>Mutual Fund</v>
      </c>
    </row>
    <row r="22" spans="2:9" ht="22" customHeight="1" x14ac:dyDescent="0.35">
      <c r="B22" s="3" t="s">
        <v>79</v>
      </c>
      <c r="H22" s="3" t="s">
        <v>83</v>
      </c>
    </row>
    <row r="23" spans="2:9" ht="14" customHeight="1" x14ac:dyDescent="0.35">
      <c r="B23" s="4" t="s">
        <v>80</v>
      </c>
      <c r="H23" s="4" t="s">
        <v>84</v>
      </c>
    </row>
    <row r="24" spans="2:9" x14ac:dyDescent="0.35">
      <c r="B24" s="5" t="s">
        <v>82</v>
      </c>
      <c r="C24" s="5" t="s">
        <v>81</v>
      </c>
      <c r="H24" s="5" t="s">
        <v>71</v>
      </c>
      <c r="I24" t="s">
        <v>85</v>
      </c>
    </row>
    <row r="25" spans="2:9" x14ac:dyDescent="0.35">
      <c r="B25" s="5" t="s">
        <v>71</v>
      </c>
      <c r="C25" t="s">
        <v>24</v>
      </c>
      <c r="D25" t="s">
        <v>46</v>
      </c>
      <c r="H25" s="6" t="s">
        <v>29</v>
      </c>
      <c r="I25" s="1">
        <v>18</v>
      </c>
    </row>
    <row r="26" spans="2:9" x14ac:dyDescent="0.35">
      <c r="B26" s="6" t="s">
        <v>27</v>
      </c>
      <c r="C26" s="1">
        <v>10</v>
      </c>
      <c r="D26" s="1">
        <v>16</v>
      </c>
      <c r="H26" s="6" t="s">
        <v>47</v>
      </c>
      <c r="I26" s="1">
        <v>19</v>
      </c>
    </row>
    <row r="27" spans="2:9" x14ac:dyDescent="0.35">
      <c r="B27" s="6" t="s">
        <v>63</v>
      </c>
      <c r="C27" s="1">
        <v>3</v>
      </c>
      <c r="D27" s="1">
        <v>8</v>
      </c>
      <c r="H27" s="6" t="s">
        <v>54</v>
      </c>
      <c r="I27" s="1">
        <v>2</v>
      </c>
    </row>
    <row r="28" spans="2:9" x14ac:dyDescent="0.35">
      <c r="B28" s="6" t="s">
        <v>53</v>
      </c>
      <c r="C28" s="1">
        <v>2</v>
      </c>
      <c r="D28" s="1">
        <v>1</v>
      </c>
      <c r="H28" s="6" t="s">
        <v>40</v>
      </c>
      <c r="I28" s="1">
        <v>1</v>
      </c>
    </row>
    <row r="40" spans="2:9" ht="22" customHeight="1" x14ac:dyDescent="0.35">
      <c r="B40" s="3" t="s">
        <v>86</v>
      </c>
      <c r="H40" s="3" t="s">
        <v>88</v>
      </c>
    </row>
    <row r="41" spans="2:9" ht="14" customHeight="1" x14ac:dyDescent="0.35">
      <c r="B41" s="4" t="s">
        <v>87</v>
      </c>
      <c r="H41" s="4" t="s">
        <v>89</v>
      </c>
    </row>
    <row r="42" spans="2:9" x14ac:dyDescent="0.35">
      <c r="B42" s="5" t="s">
        <v>71</v>
      </c>
      <c r="C42" t="s">
        <v>82</v>
      </c>
      <c r="H42" s="5" t="s">
        <v>71</v>
      </c>
      <c r="I42" t="s">
        <v>85</v>
      </c>
    </row>
    <row r="43" spans="2:9" x14ac:dyDescent="0.35">
      <c r="B43" s="6" t="s">
        <v>39</v>
      </c>
      <c r="C43" s="1">
        <v>1</v>
      </c>
      <c r="H43" s="6" t="s">
        <v>48</v>
      </c>
      <c r="I43" s="1">
        <v>4</v>
      </c>
    </row>
    <row r="44" spans="2:9" x14ac:dyDescent="0.35">
      <c r="B44" s="6" t="s">
        <v>26</v>
      </c>
      <c r="C44" s="1">
        <v>25</v>
      </c>
      <c r="H44" s="6" t="s">
        <v>30</v>
      </c>
      <c r="I44" s="1">
        <v>29</v>
      </c>
    </row>
    <row r="45" spans="2:9" x14ac:dyDescent="0.35">
      <c r="B45" s="6" t="s">
        <v>60</v>
      </c>
      <c r="C45" s="1">
        <v>14</v>
      </c>
      <c r="H45" s="6" t="s">
        <v>41</v>
      </c>
      <c r="I45" s="1">
        <v>7</v>
      </c>
    </row>
    <row r="58" spans="2:9" ht="22" customHeight="1" x14ac:dyDescent="0.35">
      <c r="B58" s="3" t="s">
        <v>90</v>
      </c>
      <c r="H58" s="3" t="s">
        <v>92</v>
      </c>
    </row>
    <row r="59" spans="2:9" ht="14" customHeight="1" x14ac:dyDescent="0.35">
      <c r="B59" s="4" t="s">
        <v>91</v>
      </c>
      <c r="H59" s="4" t="s">
        <v>93</v>
      </c>
    </row>
    <row r="60" spans="2:9" x14ac:dyDescent="0.35">
      <c r="B60" s="5" t="s">
        <v>82</v>
      </c>
      <c r="C60" s="5" t="s">
        <v>81</v>
      </c>
      <c r="H60" s="5" t="s">
        <v>71</v>
      </c>
      <c r="I60" t="s">
        <v>85</v>
      </c>
    </row>
    <row r="61" spans="2:9" x14ac:dyDescent="0.35">
      <c r="B61" s="5" t="s">
        <v>71</v>
      </c>
      <c r="C61" t="s">
        <v>24</v>
      </c>
      <c r="D61" t="s">
        <v>46</v>
      </c>
      <c r="H61" s="6" t="s">
        <v>66</v>
      </c>
      <c r="I61" s="1">
        <v>3</v>
      </c>
    </row>
    <row r="62" spans="2:9" x14ac:dyDescent="0.35">
      <c r="B62" s="6" t="s">
        <v>55</v>
      </c>
      <c r="C62" s="1">
        <v>1</v>
      </c>
      <c r="D62" s="1">
        <v>2</v>
      </c>
      <c r="H62" s="6" t="s">
        <v>42</v>
      </c>
      <c r="I62" s="1">
        <v>13</v>
      </c>
    </row>
    <row r="63" spans="2:9" x14ac:dyDescent="0.35">
      <c r="B63" s="6" t="s">
        <v>31</v>
      </c>
      <c r="C63" s="1">
        <v>12</v>
      </c>
      <c r="D63" s="1">
        <v>20</v>
      </c>
      <c r="H63" s="6" t="s">
        <v>33</v>
      </c>
      <c r="I63" s="1">
        <v>24</v>
      </c>
    </row>
    <row r="64" spans="2:9" x14ac:dyDescent="0.35">
      <c r="B64" s="6" t="s">
        <v>61</v>
      </c>
      <c r="C64" s="1">
        <v>2</v>
      </c>
      <c r="D64" s="1">
        <v>3</v>
      </c>
    </row>
    <row r="67" spans="2:8" x14ac:dyDescent="0.35">
      <c r="B67" t="s">
        <v>95</v>
      </c>
      <c r="D67" t="s">
        <v>96</v>
      </c>
      <c r="F67" s="5" t="s">
        <v>94</v>
      </c>
      <c r="G67" s="5" t="s">
        <v>81</v>
      </c>
    </row>
    <row r="68" spans="2:8" x14ac:dyDescent="0.35">
      <c r="B68" s="1">
        <v>40</v>
      </c>
      <c r="D68" s="1">
        <v>27.8</v>
      </c>
      <c r="F68" s="5" t="s">
        <v>71</v>
      </c>
      <c r="G68" t="s">
        <v>24</v>
      </c>
      <c r="H68" t="s">
        <v>46</v>
      </c>
    </row>
    <row r="69" spans="2:8" x14ac:dyDescent="0.35">
      <c r="B69">
        <f>GETPIVOTDATA("Mutual_Funds",$B$67)</f>
        <v>40</v>
      </c>
      <c r="D69">
        <f>GETPIVOTDATA("age",$D$67)</f>
        <v>27.8</v>
      </c>
      <c r="F69" s="6" t="s">
        <v>27</v>
      </c>
      <c r="G69" s="1">
        <v>10</v>
      </c>
      <c r="H69" s="1">
        <v>16</v>
      </c>
    </row>
    <row r="70" spans="2:8" x14ac:dyDescent="0.35">
      <c r="F70" t="str">
        <f>F69</f>
        <v>Capital Appreciation</v>
      </c>
    </row>
  </sheetData>
  <mergeCells count="2">
    <mergeCell ref="A1:P1"/>
    <mergeCell ref="A2:P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56EC3E-0B97-4741-A68C-E497A2B780CC}">
  <dimension ref="A1"/>
  <sheetViews>
    <sheetView showGridLines="0" tabSelected="1" workbookViewId="0">
      <selection activeCell="R11" sqref="R11"/>
    </sheetView>
  </sheetViews>
  <sheetFormatPr defaultRowHeight="14.5" x14ac:dyDescent="0.35"/>
  <cols>
    <col min="1" max="16384" width="8.7265625" style="8"/>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65E818E-EE5E-4BDC-BBCA-4D3C98FF29B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Finance_data</vt:lpstr>
      <vt:lpstr>Sheet1</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Syed Sami Ullah</dc:creator>
  <cp:lastModifiedBy>Syed Sami Ullah</cp:lastModifiedBy>
  <dcterms:created xsi:type="dcterms:W3CDTF">2026-07-01T09:41:54Z</dcterms:created>
  <dcterms:modified xsi:type="dcterms:W3CDTF">2026-07-01T11:25:25Z</dcterms:modified>
</cp:coreProperties>
</file>